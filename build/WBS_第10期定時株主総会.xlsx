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BS" sheetId="1" state="visible" r:id="rId1"/>
  </sheets>
  <definedNames>
    <definedName name="_xlnm._FilterDatabase" localSheetId="0" hidden="1">'WBS'!$A$6:$O$89</definedName>
  </definedNames>
  <calcPr calcId="124519" fullCalcOnLoad="1"/>
</workbook>
</file>

<file path=xl/styles.xml><?xml version="1.0" encoding="utf-8"?>
<styleSheet xmlns="http://schemas.openxmlformats.org/spreadsheetml/2006/main">
  <numFmts count="5">
    <numFmt numFmtId="164" formatCode="yyyy-mm-dd"/>
    <numFmt numFmtId="165" formatCode="yyyy/mm/dd"/>
    <numFmt numFmtId="166" formatCode="0&quot;件&quot;"/>
    <numFmt numFmtId="167" formatCode="#,##0&quot;分&quot;"/>
    <numFmt numFmtId="168" formatCode="0.0&quot;人日&quot;"/>
  </numFmts>
  <fonts count="6">
    <font>
      <name val="Calibri"/>
      <family val="2"/>
      <color theme="1"/>
      <sz val="11"/>
      <scheme val="minor"/>
    </font>
    <font>
      <name val="Arial"/>
      <b val="1"/>
      <color rgb="001C2951"/>
      <sz val="14"/>
    </font>
    <font>
      <name val="Arial"/>
      <b val="1"/>
      <color rgb="001C2951"/>
      <sz val="10"/>
    </font>
    <font>
      <name val="Arial"/>
      <color rgb="000000FF"/>
      <sz val="10"/>
    </font>
    <font>
      <name val="Arial"/>
      <color rgb="00161820"/>
      <sz val="10"/>
    </font>
    <font>
      <name val="Arial"/>
      <color rgb="001C2951"/>
      <sz val="9"/>
    </font>
  </fonts>
  <fills count="4">
    <fill>
      <patternFill/>
    </fill>
    <fill>
      <patternFill patternType="gray125"/>
    </fill>
    <fill>
      <patternFill patternType="solid">
        <fgColor rgb="00EAF1FA"/>
      </patternFill>
    </fill>
    <fill>
      <patternFill patternType="solid">
        <fgColor rgb="00DCE6F1"/>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165" fontId="3" fillId="2" borderId="1" pivotButton="0" quotePrefix="0" xfId="0"/>
    <xf numFmtId="0" fontId="4" fillId="0" borderId="0" pivotButton="0" quotePrefix="0" xfId="0"/>
    <xf numFmtId="166" fontId="4" fillId="0" borderId="1" pivotButton="0" quotePrefix="0" xfId="0"/>
    <xf numFmtId="167" fontId="4" fillId="0" borderId="1" pivotButton="0" quotePrefix="0" xfId="0"/>
    <xf numFmtId="165" fontId="4" fillId="0" borderId="1" pivotButton="0" quotePrefix="0" xfId="0"/>
    <xf numFmtId="168" fontId="4" fillId="0" borderId="1" pivotButton="0" quotePrefix="0" xfId="0"/>
    <xf numFmtId="0" fontId="5" fillId="0" borderId="0" pivotButton="0" quotePrefix="0" xfId="0"/>
    <xf numFmtId="0" fontId="2" fillId="3"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165" fontId="4" fillId="0" borderId="1" applyAlignment="1" pivotButton="0" quotePrefix="0" xfId="0">
      <alignment horizontal="center" vertical="top"/>
    </xf>
    <xf numFmtId="165" fontId="3" fillId="0" borderId="1" applyAlignment="1" pivotButton="0" quotePrefix="0" xfId="0">
      <alignment horizontal="center" vertical="top"/>
    </xf>
    <xf numFmtId="3" fontId="4" fillId="0" borderId="1" applyAlignment="1" pivotButton="0" quotePrefix="0" xfId="0">
      <alignment horizontal="right" vertical="top"/>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9"/>
  <sheetViews>
    <sheetView workbookViewId="0">
      <pane ySplit="6" topLeftCell="A7" activePane="bottomLeft" state="frozen"/>
      <selection pane="bottomLeft" activeCell="A1" sqref="A1"/>
    </sheetView>
  </sheetViews>
  <sheetFormatPr baseColWidth="8" defaultRowHeight="15"/>
  <cols>
    <col width="8" customWidth="1" min="1" max="1"/>
    <col width="20" customWidth="1" min="2" max="2"/>
    <col width="34" customWidth="1" min="3" max="3"/>
    <col width="60" customWidth="1" min="4" max="4"/>
    <col width="14" customWidth="1" min="5" max="5"/>
    <col width="14" customWidth="1" min="6" max="6"/>
    <col width="14" customWidth="1" min="7" max="7"/>
    <col width="14" customWidth="1" min="8" max="8"/>
    <col width="13" customWidth="1" min="9" max="9"/>
    <col width="9" customWidth="1" min="10" max="10"/>
    <col width="9" customWidth="1" min="11" max="11"/>
    <col width="10" customWidth="1" min="12" max="12"/>
    <col width="34" customWidth="1" min="13" max="13"/>
    <col width="11" customWidth="1" min="14" max="14"/>
    <col width="50" customWidth="1" min="15" max="15"/>
  </cols>
  <sheetData>
    <row r="1">
      <c r="A1" s="1" t="inlineStr">
        <is>
          <t>日本信達株式会社　第10期定時株主総会　WBS</t>
        </is>
      </c>
    </row>
    <row r="2">
      <c r="A2" s="2" t="inlineStr">
        <is>
          <t>開催日（D）</t>
        </is>
      </c>
      <c r="B2" s="3" t="n">
        <v>46301</v>
      </c>
      <c r="C2" s="4" t="inlineStr">
        <is>
          <t>← この日付を書き換えると、全ての予定日が自動で動きます</t>
        </is>
      </c>
      <c r="E2" s="2" t="inlineStr">
        <is>
          <t>総タスク数</t>
        </is>
      </c>
      <c r="F2" s="5">
        <f>COUNTA($A$7:$A$89)</f>
        <v/>
      </c>
      <c r="H2" s="2" t="inlineStr">
        <is>
          <t>増田　主担当</t>
        </is>
      </c>
      <c r="I2" s="6">
        <f>SUMIF($J$7:$J$89,"増田",$I$7:$I$89)</f>
        <v/>
      </c>
    </row>
    <row r="3">
      <c r="A3" s="2" t="inlineStr">
        <is>
          <t>作業開始可能日</t>
        </is>
      </c>
      <c r="B3" s="3" t="n">
        <v>46258</v>
      </c>
      <c r="C3" s="4" t="inlineStr">
        <is>
          <t>この日より前に着手日が来ると計画が成り立ちません</t>
        </is>
      </c>
      <c r="E3" s="2" t="inlineStr">
        <is>
          <t>合計所要時間</t>
        </is>
      </c>
      <c r="F3" s="6">
        <f>SUM($I$7:$I$89)</f>
        <v/>
      </c>
      <c r="H3" s="2" t="inlineStr">
        <is>
          <t>境　主担当</t>
        </is>
      </c>
      <c r="I3" s="6">
        <f>SUMIF($J$7:$J$89,"境",$I$7:$I$89)</f>
        <v/>
      </c>
    </row>
    <row r="4">
      <c r="A4" s="2" t="inlineStr">
        <is>
          <t>最早着手日</t>
        </is>
      </c>
      <c r="B4" s="7">
        <f>MIN($E$7:$E$89)</f>
        <v/>
      </c>
      <c r="C4" s="4">
        <f>IF($B$4&lt;$B$3,"要注意：開催日が早すぎます。開催日を後ろにずらしてください","OK：全ての作業が開始可能日以降に収まっています")</f>
        <v/>
      </c>
      <c r="E4" s="2" t="inlineStr">
        <is>
          <t>人日換算（480分＝1人日）</t>
        </is>
      </c>
      <c r="F4" s="8">
        <f>SUM($I$7:$I$89)/480</f>
        <v/>
      </c>
      <c r="H4" s="2" t="inlineStr">
        <is>
          <t>未完了の所要時間</t>
        </is>
      </c>
      <c r="I4" s="6">
        <f>SUMIF($N$7:$N$89,"&lt;&gt;完了",$I$7:$I$89)</f>
        <v/>
      </c>
    </row>
    <row r="5">
      <c r="A5" s="9" t="inlineStr">
        <is>
          <t>凡例：青文字のセルが手入力欄です（開催日・作業開始可能日・着手日（実績）・完了日（実績）・ステータス）。黒文字のセルは計算結果または確定値のため、原則として触りません。</t>
        </is>
      </c>
    </row>
    <row r="6" ht="30" customHeight="1">
      <c r="A6" s="10" t="inlineStr">
        <is>
          <t>No.</t>
        </is>
      </c>
      <c r="B6" s="10" t="inlineStr">
        <is>
          <t>カテゴリ</t>
        </is>
      </c>
      <c r="C6" s="10" t="inlineStr">
        <is>
          <t>作業名</t>
        </is>
      </c>
      <c r="D6" s="10" t="inlineStr">
        <is>
          <t>作業概要</t>
        </is>
      </c>
      <c r="E6" s="10" t="inlineStr">
        <is>
          <t>着手日（予定）</t>
        </is>
      </c>
      <c r="F6" s="10" t="inlineStr">
        <is>
          <t>完了日（予定）</t>
        </is>
      </c>
      <c r="G6" s="10" t="inlineStr">
        <is>
          <t>着手日（実績）</t>
        </is>
      </c>
      <c r="H6" s="10" t="inlineStr">
        <is>
          <t>完了日（実績）</t>
        </is>
      </c>
      <c r="I6" s="10" t="inlineStr">
        <is>
          <t>所要時間（分）</t>
        </is>
      </c>
      <c r="J6" s="10" t="inlineStr">
        <is>
          <t>主担当</t>
        </is>
      </c>
      <c r="K6" s="10" t="inlineStr">
        <is>
          <t>副担当</t>
        </is>
      </c>
      <c r="L6" s="10" t="inlineStr">
        <is>
          <t>先行作業</t>
        </is>
      </c>
      <c r="M6" s="10" t="inlineStr">
        <is>
          <t>期限区分・根拠</t>
        </is>
      </c>
      <c r="N6" s="10" t="inlineStr">
        <is>
          <t>ステータス</t>
        </is>
      </c>
      <c r="O6" s="10" t="inlineStr">
        <is>
          <t>補足</t>
        </is>
      </c>
    </row>
    <row r="7">
      <c r="A7" s="11" t="inlineStr">
        <is>
          <t>A-01</t>
        </is>
      </c>
      <c r="B7" s="12" t="inlineStr">
        <is>
          <t>前提整理・体制</t>
        </is>
      </c>
      <c r="C7" s="12" t="inlineStr">
        <is>
          <t>定款の全条文確認</t>
        </is>
      </c>
      <c r="D7" s="12" t="inlineStr">
        <is>
          <t>公告方法・株券発行の有無・議長・定足数・役員の員数と任期・基準日の各条項を洗い出し、今回の手続に影響する条文を一覧化する</t>
        </is>
      </c>
      <c r="E7" s="13">
        <f>$B$2-40</f>
        <v/>
      </c>
      <c r="F7" s="13">
        <f>$B$2-38</f>
        <v/>
      </c>
      <c r="G7" s="14" t="n"/>
      <c r="H7" s="14" t="n"/>
      <c r="I7" s="15" t="n">
        <v>120</v>
      </c>
      <c r="J7" s="11" t="inlineStr">
        <is>
          <t>増田</t>
        </is>
      </c>
      <c r="K7" s="11" t="inlineStr">
        <is>
          <t>境</t>
        </is>
      </c>
      <c r="L7" s="11" t="inlineStr"/>
      <c r="M7" s="12" t="inlineStr">
        <is>
          <t>社内</t>
        </is>
      </c>
      <c r="N7" s="16" t="inlineStr">
        <is>
          <t>進行中</t>
        </is>
      </c>
      <c r="O7" s="12" t="inlineStr">
        <is>
          <t>公告方法の現在の定めがこの後の議案設計の前提になる</t>
        </is>
      </c>
    </row>
    <row r="8">
      <c r="A8" s="11" t="inlineStr">
        <is>
          <t>A-02</t>
        </is>
      </c>
      <c r="B8" s="12" t="inlineStr">
        <is>
          <t>前提整理・体制</t>
        </is>
      </c>
      <c r="C8" s="12" t="inlineStr">
        <is>
          <t>履歴事項全部証明書の取得と現状確認</t>
        </is>
      </c>
      <c r="D8" s="12" t="inlineStr">
        <is>
          <t>法務局で登記簿を取得し、役員の任期・株式の譲渡制限に関する規定・公告方法の登記内容を確認する</t>
        </is>
      </c>
      <c r="E8" s="13">
        <f>$B$2-40</f>
        <v/>
      </c>
      <c r="F8" s="13">
        <f>$B$2-38</f>
        <v/>
      </c>
      <c r="G8" s="14" t="n"/>
      <c r="H8" s="14" t="n"/>
      <c r="I8" s="15" t="n">
        <v>60</v>
      </c>
      <c r="J8" s="11" t="inlineStr">
        <is>
          <t>境</t>
        </is>
      </c>
      <c r="K8" s="11" t="inlineStr">
        <is>
          <t>増田</t>
        </is>
      </c>
      <c r="L8" s="11" t="inlineStr"/>
      <c r="M8" s="12" t="inlineStr">
        <is>
          <t>社内</t>
        </is>
      </c>
      <c r="N8" s="16" t="inlineStr">
        <is>
          <t>進行中</t>
        </is>
      </c>
      <c r="O8" s="12" t="inlineStr">
        <is>
          <t>登記簿と定款の食い違いがないかを必ず突き合わせる</t>
        </is>
      </c>
    </row>
    <row r="9">
      <c r="A9" s="11" t="inlineStr">
        <is>
          <t>A-03</t>
        </is>
      </c>
      <c r="B9" s="12" t="inlineStr">
        <is>
          <t>前提整理・体制</t>
        </is>
      </c>
      <c r="C9" s="12" t="inlineStr">
        <is>
          <t>第9期総会の書類一式の確認</t>
        </is>
      </c>
      <c r="D9" s="12" t="inlineStr">
        <is>
          <t>第9期の招集通知・議事録・添付書類を確認し、今回の様式のたたき台とする</t>
        </is>
      </c>
      <c r="E9" s="13">
        <f>$B$2-40</f>
        <v/>
      </c>
      <c r="F9" s="13">
        <f>$B$2-38</f>
        <v/>
      </c>
      <c r="G9" s="14" t="n"/>
      <c r="H9" s="14" t="n"/>
      <c r="I9" s="15" t="n">
        <v>45</v>
      </c>
      <c r="J9" s="11" t="inlineStr">
        <is>
          <t>境</t>
        </is>
      </c>
      <c r="K9" s="11" t="inlineStr">
        <is>
          <t>増田</t>
        </is>
      </c>
      <c r="L9" s="11" t="inlineStr"/>
      <c r="M9" s="12" t="inlineStr">
        <is>
          <t>社内</t>
        </is>
      </c>
      <c r="N9" s="16" t="inlineStr">
        <is>
          <t>進行中</t>
        </is>
      </c>
      <c r="O9" s="12" t="inlineStr">
        <is>
          <t>第9期は株主1名。33名になった今回はそのままでは使えない点を洗い出す</t>
        </is>
      </c>
    </row>
    <row r="10">
      <c r="A10" s="11" t="inlineStr">
        <is>
          <t>A-04</t>
        </is>
      </c>
      <c r="B10" s="12" t="inlineStr">
        <is>
          <t>前提整理・体制</t>
        </is>
      </c>
      <c r="C10" s="12" t="inlineStr">
        <is>
          <t>遅延の経緯と是正方針の文書化</t>
        </is>
      </c>
      <c r="D10" s="12" t="inlineStr">
        <is>
          <t>基準日（4月30日）から3か月を経過した経緯と、基準日を定めず総会時点の株主名簿によるという方針を書面で残す</t>
        </is>
      </c>
      <c r="E10" s="13">
        <f>$B$2-39</f>
        <v/>
      </c>
      <c r="F10" s="13">
        <f>$B$2-36</f>
        <v/>
      </c>
      <c r="G10" s="14" t="n"/>
      <c r="H10" s="14" t="n"/>
      <c r="I10" s="15" t="n">
        <v>60</v>
      </c>
      <c r="J10" s="11" t="inlineStr">
        <is>
          <t>増田</t>
        </is>
      </c>
      <c r="K10" s="11" t="inlineStr">
        <is>
          <t>境</t>
        </is>
      </c>
      <c r="L10" s="11" t="inlineStr">
        <is>
          <t>A-01</t>
        </is>
      </c>
      <c r="M10" s="12" t="inlineStr">
        <is>
          <t>法定：会社法124条1項・2項</t>
        </is>
      </c>
      <c r="N10" s="16" t="inlineStr">
        <is>
          <t>進行中</t>
        </is>
      </c>
      <c r="O10" s="12" t="inlineStr">
        <is>
          <t>後日の説明責任に備えた記録。次回の指示書にも転記する</t>
        </is>
      </c>
    </row>
    <row r="11">
      <c r="A11" s="11" t="inlineStr">
        <is>
          <t>A-05</t>
        </is>
      </c>
      <c r="B11" s="12" t="inlineStr">
        <is>
          <t>前提整理・体制</t>
        </is>
      </c>
      <c r="C11" s="12" t="inlineStr">
        <is>
          <t>プロジェクト体制と分担表の確定</t>
        </is>
      </c>
      <c r="D11" s="12" t="inlineStr">
        <is>
          <t>増田・境の主担当／副担当の割り振りを確定し、副担当が次工程の主担当になる受け渡しの流れを決める</t>
        </is>
      </c>
      <c r="E11" s="13">
        <f>$B$2-40</f>
        <v/>
      </c>
      <c r="F11" s="13">
        <f>$B$2-39</f>
        <v/>
      </c>
      <c r="G11" s="14" t="n"/>
      <c r="H11" s="14" t="n"/>
      <c r="I11" s="15" t="n">
        <v>30</v>
      </c>
      <c r="J11" s="11" t="inlineStr">
        <is>
          <t>増田</t>
        </is>
      </c>
      <c r="K11" s="11" t="inlineStr">
        <is>
          <t>境</t>
        </is>
      </c>
      <c r="L11" s="11" t="inlineStr"/>
      <c r="M11" s="12" t="inlineStr">
        <is>
          <t>社内</t>
        </is>
      </c>
      <c r="N11" s="16" t="inlineStr">
        <is>
          <t>進行中</t>
        </is>
      </c>
      <c r="O11" s="12" t="inlineStr">
        <is>
          <t>主担当の所要時間の合計がほぼ均等になるよう配分している</t>
        </is>
      </c>
    </row>
    <row r="12">
      <c r="A12" s="11" t="inlineStr">
        <is>
          <t>A-06</t>
        </is>
      </c>
      <c r="B12" s="12" t="inlineStr">
        <is>
          <t>前提整理・体制</t>
        </is>
      </c>
      <c r="C12" s="12" t="inlineStr">
        <is>
          <t>司法書士への相談と登記スケジュールの確認</t>
        </is>
      </c>
      <c r="D12" s="12" t="inlineStr">
        <is>
          <t>まえだ司法書士事務所（前田大輔氏）に今回の議案を共有し、必要書類・登録免許税・申請日程の見通しを確認する</t>
        </is>
      </c>
      <c r="E12" s="13">
        <f>$B$2-39</f>
        <v/>
      </c>
      <c r="F12" s="13">
        <f>$B$2-36</f>
        <v/>
      </c>
      <c r="G12" s="14" t="n"/>
      <c r="H12" s="14" t="n"/>
      <c r="I12" s="15" t="n">
        <v>60</v>
      </c>
      <c r="J12" s="11" t="inlineStr">
        <is>
          <t>境</t>
        </is>
      </c>
      <c r="K12" s="11" t="inlineStr">
        <is>
          <t>増田</t>
        </is>
      </c>
      <c r="L12" s="11" t="inlineStr">
        <is>
          <t>A-02</t>
        </is>
      </c>
      <c r="M12" s="12" t="inlineStr">
        <is>
          <t>社内</t>
        </is>
      </c>
      <c r="N12" s="16" t="inlineStr">
        <is>
          <t>進行中</t>
        </is>
      </c>
      <c r="O12" s="12" t="inlineStr">
        <is>
          <t>譲渡制限撤廃・公告方法変更・役員変更を一括申請できるか、登録免許税がいくらになるかを確認する</t>
        </is>
      </c>
    </row>
    <row r="13">
      <c r="A13" s="11" t="inlineStr">
        <is>
          <t>A-07</t>
        </is>
      </c>
      <c r="B13" s="12" t="inlineStr">
        <is>
          <t>前提整理・体制</t>
        </is>
      </c>
      <c r="C13" s="12" t="inlineStr">
        <is>
          <t>開催日の逆算と決定</t>
        </is>
      </c>
      <c r="D13" s="12" t="inlineStr">
        <is>
          <t>本WBSの日程から最短開催日を算出し、役員の日程・会場と突き合わせて開催日を確定する</t>
        </is>
      </c>
      <c r="E13" s="13">
        <f>$B$2-38</f>
        <v/>
      </c>
      <c r="F13" s="13">
        <f>$B$2-35</f>
        <v/>
      </c>
      <c r="G13" s="14" t="n"/>
      <c r="H13" s="14" t="n"/>
      <c r="I13" s="15" t="n">
        <v>75</v>
      </c>
      <c r="J13" s="11" t="inlineStr">
        <is>
          <t>増田</t>
        </is>
      </c>
      <c r="K13" s="11" t="inlineStr">
        <is>
          <t>境</t>
        </is>
      </c>
      <c r="L13" s="11" t="inlineStr">
        <is>
          <t>A-04</t>
        </is>
      </c>
      <c r="M13" s="12" t="inlineStr">
        <is>
          <t>社内</t>
        </is>
      </c>
      <c r="N13" s="16" t="inlineStr">
        <is>
          <t>進行中</t>
        </is>
      </c>
      <c r="O13" s="12" t="inlineStr">
        <is>
          <t>確定したらスプレッドシートのB2セルを書き換える。以降の予定日は自動で動く</t>
        </is>
      </c>
    </row>
    <row r="14">
      <c r="A14" s="11" t="inlineStr">
        <is>
          <t>A-08</t>
        </is>
      </c>
      <c r="B14" s="12" t="inlineStr">
        <is>
          <t>前提整理・体制</t>
        </is>
      </c>
      <c r="C14" s="12" t="inlineStr">
        <is>
          <t>週次進捗会議の設定とWBS運用の開始</t>
        </is>
      </c>
      <c r="D14" s="12" t="inlineStr">
        <is>
          <t>毎週の進捗確認の場を設定し、本WBSの実績欄への記入ルールを決めて運用を始める</t>
        </is>
      </c>
      <c r="E14" s="13">
        <f>$B$2-38</f>
        <v/>
      </c>
      <c r="F14" s="13">
        <f>$B$2-37</f>
        <v/>
      </c>
      <c r="G14" s="14" t="n"/>
      <c r="H14" s="14" t="n"/>
      <c r="I14" s="15" t="n">
        <v>30</v>
      </c>
      <c r="J14" s="11" t="inlineStr">
        <is>
          <t>境</t>
        </is>
      </c>
      <c r="K14" s="11" t="inlineStr">
        <is>
          <t>増田</t>
        </is>
      </c>
      <c r="L14" s="11" t="inlineStr">
        <is>
          <t>A-05</t>
        </is>
      </c>
      <c r="M14" s="12" t="inlineStr">
        <is>
          <t>社内</t>
        </is>
      </c>
      <c r="N14" s="16" t="inlineStr">
        <is>
          <t>進行中</t>
        </is>
      </c>
      <c r="O14" s="12" t="inlineStr">
        <is>
          <t>実績日の記入が次回の標準形の精度を決める。ここを手抜きしない</t>
        </is>
      </c>
    </row>
    <row r="15">
      <c r="A15" s="11" t="inlineStr">
        <is>
          <t>B-01</t>
        </is>
      </c>
      <c r="B15" s="12" t="inlineStr">
        <is>
          <t>株主の確定</t>
        </is>
      </c>
      <c r="C15" s="12" t="inlineStr">
        <is>
          <t>株主名簿の最新化</t>
        </is>
      </c>
      <c r="D15" s="12" t="inlineStr">
        <is>
          <t>株主33名の氏名・住所・保有株式数を最新の状態に整え、招集通知の宛先として使える状態にする</t>
        </is>
      </c>
      <c r="E15" s="13">
        <f>$B$2-40</f>
        <v/>
      </c>
      <c r="F15" s="13">
        <f>$B$2-37</f>
        <v/>
      </c>
      <c r="G15" s="14" t="n"/>
      <c r="H15" s="14" t="n"/>
      <c r="I15" s="15" t="n">
        <v>120</v>
      </c>
      <c r="J15" s="11" t="inlineStr">
        <is>
          <t>境</t>
        </is>
      </c>
      <c r="K15" s="11" t="inlineStr">
        <is>
          <t>増田</t>
        </is>
      </c>
      <c r="L15" s="11" t="inlineStr">
        <is>
          <t>A-02</t>
        </is>
      </c>
      <c r="M15" s="12" t="inlineStr">
        <is>
          <t>法定：会社法121条</t>
        </is>
      </c>
      <c r="N15" s="16" t="inlineStr">
        <is>
          <t>進行中</t>
        </is>
      </c>
      <c r="O15" s="12" t="inlineStr">
        <is>
          <t>住所不明・宛先不達の株主がいないかをこの段階で潰す</t>
        </is>
      </c>
    </row>
    <row r="16">
      <c r="A16" s="11" t="inlineStr">
        <is>
          <t>B-02</t>
        </is>
      </c>
      <c r="B16" s="12" t="inlineStr">
        <is>
          <t>株主の確定</t>
        </is>
      </c>
      <c r="C16" s="12" t="inlineStr">
        <is>
          <t>4月30日以降の株式異動の有無の確認</t>
        </is>
      </c>
      <c r="D16" s="12" t="inlineStr">
        <is>
          <t>4月30日から現在までに株式の譲渡・相続等の異動がなかったかを確認し、あれば名義書換の状況を整理する</t>
        </is>
      </c>
      <c r="E16" s="13">
        <f>$B$2-40</f>
        <v/>
      </c>
      <c r="F16" s="13">
        <f>$B$2-37</f>
        <v/>
      </c>
      <c r="G16" s="14" t="n"/>
      <c r="H16" s="14" t="n"/>
      <c r="I16" s="15" t="n">
        <v>60</v>
      </c>
      <c r="J16" s="11" t="inlineStr">
        <is>
          <t>境</t>
        </is>
      </c>
      <c r="K16" s="11" t="inlineStr">
        <is>
          <t>増田</t>
        </is>
      </c>
      <c r="L16" s="11" t="inlineStr">
        <is>
          <t>B-01</t>
        </is>
      </c>
      <c r="M16" s="12" t="inlineStr">
        <is>
          <t>社内</t>
        </is>
      </c>
      <c r="N16" s="16" t="inlineStr">
        <is>
          <t>進行中</t>
        </is>
      </c>
      <c r="O16" s="12" t="inlineStr">
        <is>
          <t>基準日を定めない方式を採ったため、異動の有無が議決権者の確定に直結する</t>
        </is>
      </c>
    </row>
    <row r="17">
      <c r="A17" s="11" t="inlineStr">
        <is>
          <t>B-03</t>
        </is>
      </c>
      <c r="B17" s="12" t="inlineStr">
        <is>
          <t>株主の確定</t>
        </is>
      </c>
      <c r="C17" s="12" t="inlineStr">
        <is>
          <t>議決権個数の集計</t>
        </is>
      </c>
      <c r="D17" s="12" t="inlineStr">
        <is>
          <t>自己株式の有無・単元株の定めを確認したうえで、株主ごとの議決権個数と総議決権数を確定する</t>
        </is>
      </c>
      <c r="E17" s="13">
        <f>$B$2-37</f>
        <v/>
      </c>
      <c r="F17" s="13">
        <f>$B$2-34</f>
        <v/>
      </c>
      <c r="G17" s="14" t="n"/>
      <c r="H17" s="14" t="n"/>
      <c r="I17" s="15" t="n">
        <v>90</v>
      </c>
      <c r="J17" s="11" t="inlineStr">
        <is>
          <t>増田</t>
        </is>
      </c>
      <c r="K17" s="11" t="inlineStr">
        <is>
          <t>境</t>
        </is>
      </c>
      <c r="L17" s="11" t="inlineStr">
        <is>
          <t>B-02</t>
        </is>
      </c>
      <c r="M17" s="12" t="inlineStr">
        <is>
          <t>法定：会社法308条</t>
        </is>
      </c>
      <c r="N17" s="16" t="inlineStr">
        <is>
          <t>進行中</t>
        </is>
      </c>
      <c r="O17" s="12" t="inlineStr">
        <is>
          <t>定足数と特別決議の可決ラインをここで数字で押さえる</t>
        </is>
      </c>
    </row>
    <row r="18">
      <c r="A18" s="11" t="inlineStr">
        <is>
          <t>B-04</t>
        </is>
      </c>
      <c r="B18" s="12" t="inlineStr">
        <is>
          <t>株主の確定</t>
        </is>
      </c>
      <c r="C18" s="12" t="inlineStr">
        <is>
          <t>基準日を定めない方針の取締役会での確認</t>
        </is>
      </c>
      <c r="D18" s="12" t="inlineStr">
        <is>
          <t>総会時点の株主名簿上の株主に招集する方針を取締役会で確認し、議事録に記録する</t>
        </is>
      </c>
      <c r="E18" s="13">
        <f>$B$2-34</f>
        <v/>
      </c>
      <c r="F18" s="13">
        <f>$B$2-32</f>
        <v/>
      </c>
      <c r="G18" s="14" t="n"/>
      <c r="H18" s="14" t="n"/>
      <c r="I18" s="15" t="n">
        <v>30</v>
      </c>
      <c r="J18" s="11" t="inlineStr">
        <is>
          <t>増田</t>
        </is>
      </c>
      <c r="K18" s="11" t="inlineStr">
        <is>
          <t>境</t>
        </is>
      </c>
      <c r="L18" s="11" t="inlineStr">
        <is>
          <t>B-03</t>
        </is>
      </c>
      <c r="M18" s="12" t="inlineStr">
        <is>
          <t>法定：会社法124条1項</t>
        </is>
      </c>
      <c r="N18" s="16" t="inlineStr">
        <is>
          <t>進行中</t>
        </is>
      </c>
      <c r="O18" s="12" t="inlineStr">
        <is>
          <t>基準日は任意制度。定めない選択をした事実を残しておく</t>
        </is>
      </c>
    </row>
    <row r="19">
      <c r="A19" s="11" t="inlineStr">
        <is>
          <t>B-05</t>
        </is>
      </c>
      <c r="B19" s="12" t="inlineStr">
        <is>
          <t>株主の確定</t>
        </is>
      </c>
      <c r="C19" s="12" t="inlineStr">
        <is>
          <t>招集通知発送後の名義書換の取扱いルールの決定</t>
        </is>
      </c>
      <c r="D19" s="12" t="inlineStr">
        <is>
          <t>発送後から総会当日までに名義書換の請求があった場合の取扱いを事前に決めておく</t>
        </is>
      </c>
      <c r="E19" s="13">
        <f>$B$2-32</f>
        <v/>
      </c>
      <c r="F19" s="13">
        <f>$B$2-29</f>
        <v/>
      </c>
      <c r="G19" s="14" t="n"/>
      <c r="H19" s="14" t="n"/>
      <c r="I19" s="15" t="n">
        <v>60</v>
      </c>
      <c r="J19" s="11" t="inlineStr">
        <is>
          <t>増田</t>
        </is>
      </c>
      <c r="K19" s="11" t="inlineStr">
        <is>
          <t>境</t>
        </is>
      </c>
      <c r="L19" s="11" t="inlineStr">
        <is>
          <t>B-04</t>
        </is>
      </c>
      <c r="M19" s="12" t="inlineStr">
        <is>
          <t>社内</t>
        </is>
      </c>
      <c r="N19" s="16" t="inlineStr">
        <is>
          <t>進行中</t>
        </is>
      </c>
      <c r="O19" s="12" t="inlineStr">
        <is>
          <t>基準日を置かない方式の唯一の弱点。当日の受付で迷わないよう先に決める</t>
        </is>
      </c>
    </row>
    <row r="20">
      <c r="A20" s="11" t="inlineStr">
        <is>
          <t>B-06</t>
        </is>
      </c>
      <c r="B20" s="12" t="inlineStr">
        <is>
          <t>株主の確定</t>
        </is>
      </c>
      <c r="C20" s="12" t="inlineStr">
        <is>
          <t>株主への事前連絡</t>
        </is>
      </c>
      <c r="D20" s="12" t="inlineStr">
        <is>
          <t>開催予定の案内を出し、あわせて送付先住所に誤りがないかを確認する</t>
        </is>
      </c>
      <c r="E20" s="13">
        <f>$B$2-30</f>
        <v/>
      </c>
      <c r="F20" s="13">
        <f>$B$2-22</f>
        <v/>
      </c>
      <c r="G20" s="14" t="n"/>
      <c r="H20" s="14" t="n"/>
      <c r="I20" s="15" t="n">
        <v>120</v>
      </c>
      <c r="J20" s="11" t="inlineStr">
        <is>
          <t>境</t>
        </is>
      </c>
      <c r="K20" s="11" t="inlineStr">
        <is>
          <t>増田</t>
        </is>
      </c>
      <c r="L20" s="11" t="inlineStr">
        <is>
          <t>B-01</t>
        </is>
      </c>
      <c r="M20" s="12" t="inlineStr">
        <is>
          <t>社内</t>
        </is>
      </c>
      <c r="N20" s="16" t="inlineStr">
        <is>
          <t>進行中</t>
        </is>
      </c>
      <c r="O20" s="12" t="inlineStr">
        <is>
          <t>33名なので個別連絡が可能。返戻リスクを事前に潰しておく</t>
        </is>
      </c>
    </row>
    <row r="21">
      <c r="A21" s="11" t="inlineStr">
        <is>
          <t>C-01</t>
        </is>
      </c>
      <c r="B21" s="12" t="inlineStr">
        <is>
          <t>計算書類・事業報告・監査</t>
        </is>
      </c>
      <c r="C21" s="12" t="inlineStr">
        <is>
          <t>第10期計算書類の確定</t>
        </is>
      </c>
      <c r="D21" s="12" t="inlineStr">
        <is>
          <t>貸借対照表・損益計算書・株主資本等変動計算書・個別注記表を確定させる</t>
        </is>
      </c>
      <c r="E21" s="13">
        <f>$B$2-40</f>
        <v/>
      </c>
      <c r="F21" s="13">
        <f>$B$2-36</f>
        <v/>
      </c>
      <c r="G21" s="14" t="n"/>
      <c r="H21" s="14" t="n"/>
      <c r="I21" s="15" t="n">
        <v>60</v>
      </c>
      <c r="J21" s="11" t="inlineStr">
        <is>
          <t>境</t>
        </is>
      </c>
      <c r="K21" s="11" t="inlineStr">
        <is>
          <t>増田</t>
        </is>
      </c>
      <c r="L21" s="11" t="inlineStr"/>
      <c r="M21" s="12" t="inlineStr">
        <is>
          <t>法定：会社法435条2項</t>
        </is>
      </c>
      <c r="N21" s="16" t="inlineStr">
        <is>
          <t>進行中</t>
        </is>
      </c>
      <c r="O21" s="12" t="inlineStr">
        <is>
          <t>決算は確定済み。最終確認のみ</t>
        </is>
      </c>
    </row>
    <row r="22">
      <c r="A22" s="11" t="inlineStr">
        <is>
          <t>C-02</t>
        </is>
      </c>
      <c r="B22" s="12" t="inlineStr">
        <is>
          <t>計算書類・事業報告・監査</t>
        </is>
      </c>
      <c r="C22" s="12" t="inlineStr">
        <is>
          <t>第10期事業報告および附属明細書の確定</t>
        </is>
      </c>
      <c r="D22" s="12" t="inlineStr">
        <is>
          <t>事業報告と、計算書類・事業報告それぞれの附属明細書を確定させる</t>
        </is>
      </c>
      <c r="E22" s="13">
        <f>$B$2-40</f>
        <v/>
      </c>
      <c r="F22" s="13">
        <f>$B$2-36</f>
        <v/>
      </c>
      <c r="G22" s="14" t="n"/>
      <c r="H22" s="14" t="n"/>
      <c r="I22" s="15" t="n">
        <v>60</v>
      </c>
      <c r="J22" s="11" t="inlineStr">
        <is>
          <t>境</t>
        </is>
      </c>
      <c r="K22" s="11" t="inlineStr">
        <is>
          <t>増田</t>
        </is>
      </c>
      <c r="L22" s="11" t="inlineStr"/>
      <c r="M22" s="12" t="inlineStr">
        <is>
          <t>法定：会社法435条2項</t>
        </is>
      </c>
      <c r="N22" s="16" t="inlineStr">
        <is>
          <t>進行中</t>
        </is>
      </c>
      <c r="O22" s="12" t="inlineStr">
        <is>
          <t>附属明細書の作成漏れが起きやすい。監査の対象になる点に注意</t>
        </is>
      </c>
    </row>
    <row r="23">
      <c r="A23" s="11" t="inlineStr">
        <is>
          <t>C-03</t>
        </is>
      </c>
      <c r="B23" s="12" t="inlineStr">
        <is>
          <t>計算書類・事業報告・監査</t>
        </is>
      </c>
      <c r="C23" s="12" t="inlineStr">
        <is>
          <t>事業報告の記載事項チェック</t>
        </is>
      </c>
      <c r="D23" s="12" t="inlineStr">
        <is>
          <t>会社法施行規則118条から128条の記載事項に漏れがないかを条文と突き合わせて確認する</t>
        </is>
      </c>
      <c r="E23" s="13">
        <f>$B$2-37</f>
        <v/>
      </c>
      <c r="F23" s="13">
        <f>$B$2-35</f>
        <v/>
      </c>
      <c r="G23" s="14" t="n"/>
      <c r="H23" s="14" t="n"/>
      <c r="I23" s="15" t="n">
        <v>90</v>
      </c>
      <c r="J23" s="11" t="inlineStr">
        <is>
          <t>増田</t>
        </is>
      </c>
      <c r="K23" s="11" t="inlineStr">
        <is>
          <t>境</t>
        </is>
      </c>
      <c r="L23" s="11" t="inlineStr">
        <is>
          <t>C-02</t>
        </is>
      </c>
      <c r="M23" s="12" t="inlineStr">
        <is>
          <t>法定：会社法施行規則118条〜128条</t>
        </is>
      </c>
      <c r="N23" s="16" t="inlineStr">
        <is>
          <t>進行中</t>
        </is>
      </c>
      <c r="O23" s="12" t="inlineStr">
        <is>
          <t>第10期は非公開会社としての記載でよい。第11期からは公開会社の追加記載が必要になる</t>
        </is>
      </c>
    </row>
    <row r="24">
      <c r="A24" s="11" t="inlineStr">
        <is>
          <t>C-04</t>
        </is>
      </c>
      <c r="B24" s="12" t="inlineStr">
        <is>
          <t>計算書類・事業報告・監査</t>
        </is>
      </c>
      <c r="C24" s="12" t="inlineStr">
        <is>
          <t>監査役会との監査報告通知期限の合意</t>
        </is>
      </c>
      <c r="D24" s="12" t="inlineStr">
        <is>
          <t>監査報告の通知期限について監査役会と協議し、法定の4週間より短い期日を合意する</t>
        </is>
      </c>
      <c r="E24" s="13">
        <f>$B$2-40</f>
        <v/>
      </c>
      <c r="F24" s="13">
        <f>$B$2-37</f>
        <v/>
      </c>
      <c r="G24" s="14" t="n"/>
      <c r="H24" s="14" t="n"/>
      <c r="I24" s="15" t="n">
        <v>30</v>
      </c>
      <c r="J24" s="11" t="inlineStr">
        <is>
          <t>増田</t>
        </is>
      </c>
      <c r="K24" s="11" t="inlineStr">
        <is>
          <t>境</t>
        </is>
      </c>
      <c r="L24" s="11" t="inlineStr"/>
      <c r="M24" s="12" t="inlineStr">
        <is>
          <t>法定：会社計算規則124条1項・会社法施行規則132条1項</t>
        </is>
      </c>
      <c r="N24" s="16" t="inlineStr">
        <is>
          <t>未着手</t>
        </is>
      </c>
      <c r="O24" s="12" t="inlineStr">
        <is>
          <t>工数は30分だが、ここの合意が開催日を最も大きく動かす。最優先で着手する</t>
        </is>
      </c>
    </row>
    <row r="25">
      <c r="A25" s="11" t="inlineStr">
        <is>
          <t>C-05</t>
        </is>
      </c>
      <c r="B25" s="12" t="inlineStr">
        <is>
          <t>計算書類・事業報告・監査</t>
        </is>
      </c>
      <c r="C25" s="12" t="inlineStr">
        <is>
          <t>計算書類等の監査役会への提供</t>
        </is>
      </c>
      <c r="D25" s="12" t="inlineStr">
        <is>
          <t>計算書類・事業報告・各附属明細書を監査役会へ正式に提供し、受領日を記録する</t>
        </is>
      </c>
      <c r="E25" s="13">
        <f>$B$2-35</f>
        <v/>
      </c>
      <c r="F25" s="13">
        <f>$B$2-34</f>
        <v/>
      </c>
      <c r="G25" s="14" t="n"/>
      <c r="H25" s="14" t="n"/>
      <c r="I25" s="15" t="n">
        <v>30</v>
      </c>
      <c r="J25" s="11" t="inlineStr">
        <is>
          <t>境</t>
        </is>
      </c>
      <c r="K25" s="11" t="inlineStr">
        <is>
          <t>増田</t>
        </is>
      </c>
      <c r="L25" s="11" t="inlineStr">
        <is>
          <t>C-01</t>
        </is>
      </c>
      <c r="M25" s="12" t="inlineStr">
        <is>
          <t>法定：会社法436条2項</t>
        </is>
      </c>
      <c r="N25" s="16" t="inlineStr">
        <is>
          <t>進行中</t>
        </is>
      </c>
      <c r="O25" s="12" t="inlineStr">
        <is>
          <t>資料は事前送付済み。受領日が監査報告の通知期限の起算日になるため、正式な提供日を必ず記録する</t>
        </is>
      </c>
    </row>
    <row r="26">
      <c r="A26" s="11" t="inlineStr">
        <is>
          <t>C-06</t>
        </is>
      </c>
      <c r="B26" s="12" t="inlineStr">
        <is>
          <t>計算書類・事業報告・監査</t>
        </is>
      </c>
      <c r="C26" s="12" t="inlineStr">
        <is>
          <t>監査役会による監査の実施</t>
        </is>
      </c>
      <c r="D26" s="12" t="inlineStr">
        <is>
          <t>監査役会での監査の進行を社内側で支援し、資料請求・質問への対応を行う</t>
        </is>
      </c>
      <c r="E26" s="13">
        <f>$B$2-33</f>
        <v/>
      </c>
      <c r="F26" s="13">
        <f>$B$2-20</f>
        <v/>
      </c>
      <c r="G26" s="14" t="n"/>
      <c r="H26" s="14" t="n"/>
      <c r="I26" s="15" t="n">
        <v>90</v>
      </c>
      <c r="J26" s="11" t="inlineStr">
        <is>
          <t>境</t>
        </is>
      </c>
      <c r="K26" s="11" t="inlineStr">
        <is>
          <t>増田</t>
        </is>
      </c>
      <c r="L26" s="11" t="inlineStr">
        <is>
          <t>C-05</t>
        </is>
      </c>
      <c r="M26" s="12" t="inlineStr">
        <is>
          <t>法定：会社法436条2項</t>
        </is>
      </c>
      <c r="N26" s="16" t="inlineStr">
        <is>
          <t>未着手</t>
        </is>
      </c>
      <c r="O26" s="12" t="inlineStr">
        <is>
          <t>実施主体は監査役会。社内の工数は90分だが、監査期間として2週間を見込んでいる</t>
        </is>
      </c>
    </row>
    <row r="27">
      <c r="A27" s="11" t="inlineStr">
        <is>
          <t>C-07</t>
        </is>
      </c>
      <c r="B27" s="12" t="inlineStr">
        <is>
          <t>計算書類・事業報告・監査</t>
        </is>
      </c>
      <c r="C27" s="12" t="inlineStr">
        <is>
          <t>監査報告の受領</t>
        </is>
      </c>
      <c r="D27" s="12" t="inlineStr">
        <is>
          <t>監査役会の監査報告を受領し、内容と日付を確認する</t>
        </is>
      </c>
      <c r="E27" s="13">
        <f>$B$2-19</f>
        <v/>
      </c>
      <c r="F27" s="13">
        <f>$B$2-19</f>
        <v/>
      </c>
      <c r="G27" s="14" t="n"/>
      <c r="H27" s="14" t="n"/>
      <c r="I27" s="15" t="n">
        <v>30</v>
      </c>
      <c r="J27" s="11" t="inlineStr">
        <is>
          <t>増田</t>
        </is>
      </c>
      <c r="K27" s="11" t="inlineStr">
        <is>
          <t>境</t>
        </is>
      </c>
      <c r="L27" s="11" t="inlineStr">
        <is>
          <t>C-06</t>
        </is>
      </c>
      <c r="M27" s="12" t="inlineStr">
        <is>
          <t>法定：会社計算規則124条1項</t>
        </is>
      </c>
      <c r="N27" s="16" t="inlineStr">
        <is>
          <t>未着手</t>
        </is>
      </c>
      <c r="O27" s="12" t="inlineStr">
        <is>
          <t>招集通知の添付書類になるため、受領しないと発送できない</t>
        </is>
      </c>
    </row>
    <row r="28">
      <c r="A28" s="11" t="inlineStr">
        <is>
          <t>C-08</t>
        </is>
      </c>
      <c r="B28" s="12" t="inlineStr">
        <is>
          <t>計算書類・事業報告・監査</t>
        </is>
      </c>
      <c r="C28" s="12" t="inlineStr">
        <is>
          <t>取締役会による計算書類・事業報告の承認</t>
        </is>
      </c>
      <c r="D28" s="12" t="inlineStr">
        <is>
          <t>取締役会で計算書類・事業報告・附属明細書を承認する</t>
        </is>
      </c>
      <c r="E28" s="13">
        <f>$B$2-18</f>
        <v/>
      </c>
      <c r="F28" s="13">
        <f>$B$2-18</f>
        <v/>
      </c>
      <c r="G28" s="14" t="n"/>
      <c r="H28" s="14" t="n"/>
      <c r="I28" s="15" t="n">
        <v>60</v>
      </c>
      <c r="J28" s="11" t="inlineStr">
        <is>
          <t>増田</t>
        </is>
      </c>
      <c r="K28" s="11" t="inlineStr">
        <is>
          <t>境</t>
        </is>
      </c>
      <c r="L28" s="11" t="inlineStr">
        <is>
          <t>C-07</t>
        </is>
      </c>
      <c r="M28" s="12" t="inlineStr">
        <is>
          <t>法定：会社法436条3項</t>
        </is>
      </c>
      <c r="N28" s="16" t="inlineStr">
        <is>
          <t>未着手</t>
        </is>
      </c>
      <c r="O28" s="12" t="inlineStr">
        <is>
          <t>招集事項の決定（E-03）と同じ取締役会にまとめる</t>
        </is>
      </c>
    </row>
    <row r="29">
      <c r="A29" s="11" t="inlineStr">
        <is>
          <t>C-09</t>
        </is>
      </c>
      <c r="B29" s="12" t="inlineStr">
        <is>
          <t>計算書類・事業報告・監査</t>
        </is>
      </c>
      <c r="C29" s="12" t="inlineStr">
        <is>
          <t>剰余金配当の要否確認と分配可能額の算定</t>
        </is>
      </c>
      <c r="D29" s="12" t="inlineStr">
        <is>
          <t>配当を行うかを判断し、行う場合は分配可能額を算定して議案化の要否を決める</t>
        </is>
      </c>
      <c r="E29" s="13">
        <f>$B$2-40</f>
        <v/>
      </c>
      <c r="F29" s="13">
        <f>$B$2-37</f>
        <v/>
      </c>
      <c r="G29" s="14" t="n"/>
      <c r="H29" s="14" t="n"/>
      <c r="I29" s="15" t="n">
        <v>30</v>
      </c>
      <c r="J29" s="11" t="inlineStr">
        <is>
          <t>境</t>
        </is>
      </c>
      <c r="K29" s="11" t="inlineStr">
        <is>
          <t>増田</t>
        </is>
      </c>
      <c r="L29" s="11" t="inlineStr">
        <is>
          <t>C-01</t>
        </is>
      </c>
      <c r="M29" s="12" t="inlineStr">
        <is>
          <t>法定：会社法461条</t>
        </is>
      </c>
      <c r="N29" s="16" t="inlineStr">
        <is>
          <t>進行中</t>
        </is>
      </c>
      <c r="O29" s="12" t="inlineStr">
        <is>
          <t>現時点では配当議案の予定なし。不要と確定したらその判断を記録して閉じる</t>
        </is>
      </c>
    </row>
    <row r="30">
      <c r="A30" s="11" t="inlineStr">
        <is>
          <t>D-01</t>
        </is>
      </c>
      <c r="B30" s="12" t="inlineStr">
        <is>
          <t>議案設計</t>
        </is>
      </c>
      <c r="C30" s="12" t="inlineStr">
        <is>
          <t>第1号議案「定款一部変更」の内容確定</t>
        </is>
      </c>
      <c r="D30" s="12" t="inlineStr">
        <is>
          <t>株式の譲渡制限に関する規定の撤廃と、公告方法の電子公告への変更の2点について変更後の条文を確定する</t>
        </is>
      </c>
      <c r="E30" s="13">
        <f>$B$2-40</f>
        <v/>
      </c>
      <c r="F30" s="13">
        <f>$B$2-36</f>
        <v/>
      </c>
      <c r="G30" s="14" t="n"/>
      <c r="H30" s="14" t="n"/>
      <c r="I30" s="15" t="n">
        <v>90</v>
      </c>
      <c r="J30" s="11" t="inlineStr">
        <is>
          <t>増田</t>
        </is>
      </c>
      <c r="K30" s="11" t="inlineStr">
        <is>
          <t>境</t>
        </is>
      </c>
      <c r="L30" s="11" t="inlineStr">
        <is>
          <t>A-01</t>
        </is>
      </c>
      <c r="M30" s="12" t="inlineStr">
        <is>
          <t>法定：会社法466条・309条2項11号</t>
        </is>
      </c>
      <c r="N30" s="16" t="inlineStr">
        <is>
          <t>進行中</t>
        </is>
      </c>
      <c r="O30" s="12" t="inlineStr">
        <is>
          <t>特別決議事項。譲渡制限の設定は特殊決議だが、撤廃は特別決議で足りる</t>
        </is>
      </c>
    </row>
    <row r="31">
      <c r="A31" s="11" t="inlineStr">
        <is>
          <t>D-02</t>
        </is>
      </c>
      <c r="B31" s="12" t="inlineStr">
        <is>
          <t>議案設計</t>
        </is>
      </c>
      <c r="C31" s="12" t="inlineStr">
        <is>
          <t>定款変更の効力発生日の設計</t>
        </is>
      </c>
      <c r="D31" s="12" t="inlineStr">
        <is>
          <t>定款変更の効力を総会終結時とするか、附則で別の日を定めるかを決める</t>
        </is>
      </c>
      <c r="E31" s="13">
        <f>$B$2-39</f>
        <v/>
      </c>
      <c r="F31" s="13">
        <f>$B$2-37</f>
        <v/>
      </c>
      <c r="G31" s="14" t="n"/>
      <c r="H31" s="14" t="n"/>
      <c r="I31" s="15" t="n">
        <v>30</v>
      </c>
      <c r="J31" s="11" t="inlineStr">
        <is>
          <t>増田</t>
        </is>
      </c>
      <c r="K31" s="11" t="inlineStr">
        <is>
          <t>境</t>
        </is>
      </c>
      <c r="L31" s="11" t="inlineStr">
        <is>
          <t>D-01</t>
        </is>
      </c>
      <c r="M31" s="12" t="inlineStr">
        <is>
          <t>社内</t>
        </is>
      </c>
      <c r="N31" s="16" t="inlineStr">
        <is>
          <t>進行中</t>
        </is>
      </c>
      <c r="O31" s="12" t="inlineStr">
        <is>
          <t>役員の任期満了時期と連動する。原則どおり総会決議時とするのが素直</t>
        </is>
      </c>
    </row>
    <row r="32">
      <c r="A32" s="11" t="inlineStr">
        <is>
          <t>D-03</t>
        </is>
      </c>
      <c r="B32" s="12" t="inlineStr">
        <is>
          <t>議案設計</t>
        </is>
      </c>
      <c r="C32" s="12" t="inlineStr">
        <is>
          <t>定款新旧対照表の作成</t>
        </is>
      </c>
      <c r="D32" s="12" t="inlineStr">
        <is>
          <t>変更前後の条文を対照表にまとめ、参考書類および取締役会資料に添付する</t>
        </is>
      </c>
      <c r="E32" s="13">
        <f>$B$2-37</f>
        <v/>
      </c>
      <c r="F32" s="13">
        <f>$B$2-34</f>
        <v/>
      </c>
      <c r="G32" s="14" t="n"/>
      <c r="H32" s="14" t="n"/>
      <c r="I32" s="15" t="n">
        <v>60</v>
      </c>
      <c r="J32" s="11" t="inlineStr">
        <is>
          <t>増田</t>
        </is>
      </c>
      <c r="K32" s="11" t="inlineStr">
        <is>
          <t>境</t>
        </is>
      </c>
      <c r="L32" s="11" t="inlineStr">
        <is>
          <t>D-01</t>
        </is>
      </c>
      <c r="M32" s="12" t="inlineStr">
        <is>
          <t>社内</t>
        </is>
      </c>
      <c r="N32" s="16" t="inlineStr">
        <is>
          <t>進行中</t>
        </is>
      </c>
      <c r="O32" s="12" t="inlineStr">
        <is>
          <t>登記申請時にも使う。前田先生と様式をすり合わせておく</t>
        </is>
      </c>
    </row>
    <row r="33">
      <c r="A33" s="11" t="inlineStr">
        <is>
          <t>D-04</t>
        </is>
      </c>
      <c r="B33" s="12" t="inlineStr">
        <is>
          <t>議案設計</t>
        </is>
      </c>
      <c r="C33" s="12" t="inlineStr">
        <is>
          <t>電子公告のURL・掲載体制・予備的公告方法の決定</t>
        </is>
      </c>
      <c r="D33" s="12" t="inlineStr">
        <is>
          <t>自社サイト上の公告ページのURLを決め、掲載・保守の担当と、事故時の予備的公告方法を定款に定めるかを決める</t>
        </is>
      </c>
      <c r="E33" s="13">
        <f>$B$2-37</f>
        <v/>
      </c>
      <c r="F33" s="13">
        <f>$B$2-34</f>
        <v/>
      </c>
      <c r="G33" s="14" t="n"/>
      <c r="H33" s="14" t="n"/>
      <c r="I33" s="15" t="n">
        <v>60</v>
      </c>
      <c r="J33" s="11" t="inlineStr">
        <is>
          <t>境</t>
        </is>
      </c>
      <c r="K33" s="11" t="inlineStr">
        <is>
          <t>増田</t>
        </is>
      </c>
      <c r="L33" s="11" t="inlineStr">
        <is>
          <t>D-01</t>
        </is>
      </c>
      <c r="M33" s="12" t="inlineStr">
        <is>
          <t>法定：会社法939条3項・940条</t>
        </is>
      </c>
      <c r="N33" s="16" t="inlineStr">
        <is>
          <t>進行中</t>
        </is>
      </c>
      <c r="O33" s="12" t="inlineStr">
        <is>
          <t>URLは登記事項。決算公告は5年間の継続掲載が必要で、調査機関の調査は不要</t>
        </is>
      </c>
    </row>
    <row r="34">
      <c r="A34" s="11" t="inlineStr">
        <is>
          <t>D-05</t>
        </is>
      </c>
      <c r="B34" s="12" t="inlineStr">
        <is>
          <t>議案設計</t>
        </is>
      </c>
      <c r="C34" s="12" t="inlineStr">
        <is>
          <t>取締役選任議案の候補者確定と就任承諾書の取得</t>
        </is>
      </c>
      <c r="D34" s="12" t="inlineStr">
        <is>
          <t>取締役候補者を確定し、就任承諾書・本人確認証明書等の登記添付書類を事前に集める</t>
        </is>
      </c>
      <c r="E34" s="13">
        <f>$B$2-38</f>
        <v/>
      </c>
      <c r="F34" s="13">
        <f>$B$2-32</f>
        <v/>
      </c>
      <c r="G34" s="14" t="n"/>
      <c r="H34" s="14" t="n"/>
      <c r="I34" s="15" t="n">
        <v>60</v>
      </c>
      <c r="J34" s="11" t="inlineStr">
        <is>
          <t>境</t>
        </is>
      </c>
      <c r="K34" s="11" t="inlineStr">
        <is>
          <t>増田</t>
        </is>
      </c>
      <c r="L34" s="11" t="inlineStr">
        <is>
          <t>D-02</t>
        </is>
      </c>
      <c r="M34" s="12" t="inlineStr">
        <is>
          <t>法定：会社法329条・341条</t>
        </is>
      </c>
      <c r="N34" s="16" t="inlineStr">
        <is>
          <t>進行中</t>
        </is>
      </c>
      <c r="O34" s="12" t="inlineStr">
        <is>
          <t>定款変更の効力発生で全取締役の任期が満了するため、再任も含めて全員分が必要</t>
        </is>
      </c>
    </row>
    <row r="35">
      <c r="A35" s="11" t="inlineStr">
        <is>
          <t>D-06</t>
        </is>
      </c>
      <c r="B35" s="12" t="inlineStr">
        <is>
          <t>議案設計</t>
        </is>
      </c>
      <c r="C35" s="12" t="inlineStr">
        <is>
          <t>監査役選任議案の候補者確定と監査役会の同意取得</t>
        </is>
      </c>
      <c r="D35" s="12" t="inlineStr">
        <is>
          <t>監査役候補者を確定し、選任議案の提出について監査役会の同意を得る</t>
        </is>
      </c>
      <c r="E35" s="13">
        <f>$B$2-38</f>
        <v/>
      </c>
      <c r="F35" s="13">
        <f>$B$2-32</f>
        <v/>
      </c>
      <c r="G35" s="14" t="n"/>
      <c r="H35" s="14" t="n"/>
      <c r="I35" s="15" t="n">
        <v>60</v>
      </c>
      <c r="J35" s="11" t="inlineStr">
        <is>
          <t>境</t>
        </is>
      </c>
      <c r="K35" s="11" t="inlineStr">
        <is>
          <t>増田</t>
        </is>
      </c>
      <c r="L35" s="11" t="inlineStr">
        <is>
          <t>D-02</t>
        </is>
      </c>
      <c r="M35" s="12" t="inlineStr">
        <is>
          <t>法定：会社法343条1項・3項</t>
        </is>
      </c>
      <c r="N35" s="16" t="inlineStr">
        <is>
          <t>進行中</t>
        </is>
      </c>
      <c r="O35" s="12" t="inlineStr">
        <is>
          <t>監査役会の同意を欠くと議案の提出自体が瑕疵になる。監査役会は3名以上・半数以上が社外である必要がある</t>
        </is>
      </c>
    </row>
    <row r="36">
      <c r="A36" s="11" t="inlineStr">
        <is>
          <t>D-07</t>
        </is>
      </c>
      <c r="B36" s="12" t="inlineStr">
        <is>
          <t>議案設計</t>
        </is>
      </c>
      <c r="C36" s="12" t="inlineStr">
        <is>
          <t>議案の上程順序と条件付選任の整理</t>
        </is>
      </c>
      <c r="D36" s="12" t="inlineStr">
        <is>
          <t>定款変更を先に、役員選任を後に上程し、役員選任は定款変更の効力発生を条件とする形で整理する</t>
        </is>
      </c>
      <c r="E36" s="13">
        <f>$B$2-34</f>
        <v/>
      </c>
      <c r="F36" s="13">
        <f>$B$2-31</f>
        <v/>
      </c>
      <c r="G36" s="14" t="n"/>
      <c r="H36" s="14" t="n"/>
      <c r="I36" s="15" t="n">
        <v>30</v>
      </c>
      <c r="J36" s="11" t="inlineStr">
        <is>
          <t>増田</t>
        </is>
      </c>
      <c r="K36" s="11" t="inlineStr">
        <is>
          <t>境</t>
        </is>
      </c>
      <c r="L36" s="11" t="inlineStr">
        <is>
          <t>D-05</t>
        </is>
      </c>
      <c r="M36" s="12" t="inlineStr">
        <is>
          <t>社内</t>
        </is>
      </c>
      <c r="N36" s="16" t="inlineStr">
        <is>
          <t>進行中</t>
        </is>
      </c>
      <c r="O36" s="12" t="inlineStr">
        <is>
          <t>順序を誤ると任期満了前の選任になってしまう。台本にも反映させる</t>
        </is>
      </c>
    </row>
    <row r="37">
      <c r="A37" s="11" t="inlineStr">
        <is>
          <t>D-08</t>
        </is>
      </c>
      <c r="B37" s="12" t="inlineStr">
        <is>
          <t>議案設計</t>
        </is>
      </c>
      <c r="C37" s="12" t="inlineStr">
        <is>
          <t>決議要件の確認</t>
        </is>
      </c>
      <c r="D37" s="12" t="inlineStr">
        <is>
          <t>各議案の定足数と必要賛成数を、定款の定めを踏まえて数字で確認する</t>
        </is>
      </c>
      <c r="E37" s="13">
        <f>$B$2-34</f>
        <v/>
      </c>
      <c r="F37" s="13">
        <f>$B$2-31</f>
        <v/>
      </c>
      <c r="G37" s="14" t="n"/>
      <c r="H37" s="14" t="n"/>
      <c r="I37" s="15" t="n">
        <v>30</v>
      </c>
      <c r="J37" s="11" t="inlineStr">
        <is>
          <t>増田</t>
        </is>
      </c>
      <c r="K37" s="11" t="inlineStr">
        <is>
          <t>境</t>
        </is>
      </c>
      <c r="L37" s="11" t="inlineStr">
        <is>
          <t>B-03</t>
        </is>
      </c>
      <c r="M37" s="12" t="inlineStr">
        <is>
          <t>法定：会社法309条2項・341条</t>
        </is>
      </c>
      <c r="N37" s="16" t="inlineStr">
        <is>
          <t>進行中</t>
        </is>
      </c>
      <c r="O37" s="12" t="inlineStr">
        <is>
          <t>定款変更は特別決議、役員選任は普通決議。70％株主の出席で定足数は満たせる見込み</t>
        </is>
      </c>
    </row>
    <row r="38">
      <c r="A38" s="11" t="inlineStr">
        <is>
          <t>D-09</t>
        </is>
      </c>
      <c r="B38" s="12" t="inlineStr">
        <is>
          <t>議案設計</t>
        </is>
      </c>
      <c r="C38" s="12" t="inlineStr">
        <is>
          <t>議案全体のリーガルチェック</t>
        </is>
      </c>
      <c r="D38" s="12" t="inlineStr">
        <is>
          <t>議案・参考書類・上程順序について外部の専門家の確認を受ける</t>
        </is>
      </c>
      <c r="E38" s="13">
        <f>$B$2-30</f>
        <v/>
      </c>
      <c r="F38" s="13">
        <f>$B$2-27</f>
        <v/>
      </c>
      <c r="G38" s="14" t="n"/>
      <c r="H38" s="14" t="n"/>
      <c r="I38" s="15" t="n">
        <v>60</v>
      </c>
      <c r="J38" s="11" t="inlineStr">
        <is>
          <t>増田</t>
        </is>
      </c>
      <c r="K38" s="11" t="inlineStr">
        <is>
          <t>境</t>
        </is>
      </c>
      <c r="L38" s="11" t="inlineStr">
        <is>
          <t>D-07</t>
        </is>
      </c>
      <c r="M38" s="12" t="inlineStr">
        <is>
          <t>社内</t>
        </is>
      </c>
      <c r="N38" s="16" t="inlineStr">
        <is>
          <t>未着手</t>
        </is>
      </c>
      <c r="O38" s="12" t="inlineStr">
        <is>
          <t>譲渡制限撤廃に伴う任期満了の論点は見落とされやすい。必ず明示して確認を取る</t>
        </is>
      </c>
    </row>
    <row r="39">
      <c r="A39" s="11" t="inlineStr">
        <is>
          <t>E-01</t>
        </is>
      </c>
      <c r="B39" s="12" t="inlineStr">
        <is>
          <t>招集の決定</t>
        </is>
      </c>
      <c r="C39" s="12" t="inlineStr">
        <is>
          <t>招集事項決定の取締役会の招集通知</t>
        </is>
      </c>
      <c r="D39" s="12" t="inlineStr">
        <is>
          <t>招集事項を決議する取締役会を、開催日の1週間前までに各取締役・監査役へ通知する</t>
        </is>
      </c>
      <c r="E39" s="13">
        <f>$B$2-25</f>
        <v/>
      </c>
      <c r="F39" s="13">
        <f>$B$2-24</f>
        <v/>
      </c>
      <c r="G39" s="14" t="n"/>
      <c r="H39" s="14" t="n"/>
      <c r="I39" s="15" t="n">
        <v>30</v>
      </c>
      <c r="J39" s="11" t="inlineStr">
        <is>
          <t>境</t>
        </is>
      </c>
      <c r="K39" s="11" t="inlineStr">
        <is>
          <t>増田</t>
        </is>
      </c>
      <c r="L39" s="11" t="inlineStr"/>
      <c r="M39" s="12" t="inlineStr">
        <is>
          <t>法定：会社法368条1項</t>
        </is>
      </c>
      <c r="N39" s="16" t="inlineStr">
        <is>
          <t>未着手</t>
        </is>
      </c>
      <c r="O39" s="12" t="inlineStr">
        <is>
          <t>定款で短縮している場合はその期間による</t>
        </is>
      </c>
    </row>
    <row r="40">
      <c r="A40" s="11" t="inlineStr">
        <is>
          <t>E-02</t>
        </is>
      </c>
      <c r="B40" s="12" t="inlineStr">
        <is>
          <t>招集の決定</t>
        </is>
      </c>
      <c r="C40" s="12" t="inlineStr">
        <is>
          <t>取締役会付議資料の作成</t>
        </is>
      </c>
      <c r="D40" s="12" t="inlineStr">
        <is>
          <t>招集事項・各議案・招集通知案・参考書類案を付議資料としてまとめる</t>
        </is>
      </c>
      <c r="E40" s="13">
        <f>$B$2-26</f>
        <v/>
      </c>
      <c r="F40" s="13">
        <f>$B$2-20</f>
        <v/>
      </c>
      <c r="G40" s="14" t="n"/>
      <c r="H40" s="14" t="n"/>
      <c r="I40" s="15" t="n">
        <v>120</v>
      </c>
      <c r="J40" s="11" t="inlineStr">
        <is>
          <t>増田</t>
        </is>
      </c>
      <c r="K40" s="11" t="inlineStr">
        <is>
          <t>境</t>
        </is>
      </c>
      <c r="L40" s="11" t="inlineStr">
        <is>
          <t>D-09</t>
        </is>
      </c>
      <c r="M40" s="12" t="inlineStr">
        <is>
          <t>社内</t>
        </is>
      </c>
      <c r="N40" s="16" t="inlineStr">
        <is>
          <t>未着手</t>
        </is>
      </c>
      <c r="O40" s="12" t="inlineStr"/>
    </row>
    <row r="41">
      <c r="A41" s="11" t="inlineStr">
        <is>
          <t>E-03</t>
        </is>
      </c>
      <c r="B41" s="12" t="inlineStr">
        <is>
          <t>招集の決定</t>
        </is>
      </c>
      <c r="C41" s="12" t="inlineStr">
        <is>
          <t>取締役会決議（招集事項の決定）</t>
        </is>
      </c>
      <c r="D41" s="12" t="inlineStr">
        <is>
          <t>総会の日時・場所・目的事項を決議し、書面投票を採用するかを決める</t>
        </is>
      </c>
      <c r="E41" s="13">
        <f>$B$2-18</f>
        <v/>
      </c>
      <c r="F41" s="13">
        <f>$B$2-18</f>
        <v/>
      </c>
      <c r="G41" s="14" t="n"/>
      <c r="H41" s="14" t="n"/>
      <c r="I41" s="15" t="n">
        <v>60</v>
      </c>
      <c r="J41" s="11" t="inlineStr">
        <is>
          <t>増田</t>
        </is>
      </c>
      <c r="K41" s="11" t="inlineStr">
        <is>
          <t>境</t>
        </is>
      </c>
      <c r="L41" s="11" t="inlineStr">
        <is>
          <t>E-02</t>
        </is>
      </c>
      <c r="M41" s="12" t="inlineStr">
        <is>
          <t>法定：会社法298条1項・4項</t>
        </is>
      </c>
      <c r="N41" s="16" t="inlineStr">
        <is>
          <t>未着手</t>
        </is>
      </c>
      <c r="O41" s="12" t="inlineStr">
        <is>
          <t>書面投票を採用すると招集通知が2週間前になり日程が延びる。委任状方式で足りるため不採用を推奨</t>
        </is>
      </c>
    </row>
    <row r="42">
      <c r="A42" s="11" t="inlineStr">
        <is>
          <t>E-04</t>
        </is>
      </c>
      <c r="B42" s="12" t="inlineStr">
        <is>
          <t>招集の決定</t>
        </is>
      </c>
      <c r="C42" s="12" t="inlineStr">
        <is>
          <t>取締役会議事録の作成と押印</t>
        </is>
      </c>
      <c r="D42" s="12" t="inlineStr">
        <is>
          <t>招集事項を決議した取締役会の議事録を作成し、出席役員の署名または記名押印を得る</t>
        </is>
      </c>
      <c r="E42" s="13">
        <f>$B$2-17</f>
        <v/>
      </c>
      <c r="F42" s="13">
        <f>$B$2-14</f>
        <v/>
      </c>
      <c r="G42" s="14" t="n"/>
      <c r="H42" s="14" t="n"/>
      <c r="I42" s="15" t="n">
        <v>90</v>
      </c>
      <c r="J42" s="11" t="inlineStr">
        <is>
          <t>境</t>
        </is>
      </c>
      <c r="K42" s="11" t="inlineStr">
        <is>
          <t>増田</t>
        </is>
      </c>
      <c r="L42" s="11" t="inlineStr">
        <is>
          <t>E-03</t>
        </is>
      </c>
      <c r="M42" s="12" t="inlineStr">
        <is>
          <t>法定：会社法369条3項・371条</t>
        </is>
      </c>
      <c r="N42" s="16" t="inlineStr">
        <is>
          <t>未着手</t>
        </is>
      </c>
      <c r="O42" s="12" t="inlineStr">
        <is>
          <t>10年間の本店備置が必要</t>
        </is>
      </c>
    </row>
    <row r="43">
      <c r="A43" s="11" t="inlineStr">
        <is>
          <t>F-01</t>
        </is>
      </c>
      <c r="B43" s="12" t="inlineStr">
        <is>
          <t>招集通知・添付書類</t>
        </is>
      </c>
      <c r="C43" s="12" t="inlineStr">
        <is>
          <t>招集通知本文の作成</t>
        </is>
      </c>
      <c r="D43" s="12" t="inlineStr">
        <is>
          <t>日時・場所・目的事項・議決権行使の方法を記載した招集通知の本文を作成する</t>
        </is>
      </c>
      <c r="E43" s="13">
        <f>$B$2-26</f>
        <v/>
      </c>
      <c r="F43" s="13">
        <f>$B$2-20</f>
        <v/>
      </c>
      <c r="G43" s="14" t="n"/>
      <c r="H43" s="14" t="n"/>
      <c r="I43" s="15" t="n">
        <v>240</v>
      </c>
      <c r="J43" s="11" t="inlineStr">
        <is>
          <t>増田</t>
        </is>
      </c>
      <c r="K43" s="11" t="inlineStr">
        <is>
          <t>境</t>
        </is>
      </c>
      <c r="L43" s="11" t="inlineStr">
        <is>
          <t>E-02</t>
        </is>
      </c>
      <c r="M43" s="12" t="inlineStr">
        <is>
          <t>法定：会社法299条・会社法施行規則63条</t>
        </is>
      </c>
      <c r="N43" s="16" t="inlineStr">
        <is>
          <t>未着手</t>
        </is>
      </c>
      <c r="O43" s="12" t="inlineStr">
        <is>
          <t>取締役会設置会社のため書面での通知が必須</t>
        </is>
      </c>
    </row>
    <row r="44">
      <c r="A44" s="11" t="inlineStr">
        <is>
          <t>F-02</t>
        </is>
      </c>
      <c r="B44" s="12" t="inlineStr">
        <is>
          <t>招集通知・添付書類</t>
        </is>
      </c>
      <c r="C44" s="12" t="inlineStr">
        <is>
          <t>株主総会参考書類・議案説明資料の作成</t>
        </is>
      </c>
      <c r="D44" s="12" t="inlineStr">
        <is>
          <t>各議案の内容と提案理由を記載した参考書類を作成する。特に譲渡制限撤廃の理由を丁寧に書く</t>
        </is>
      </c>
      <c r="E44" s="13">
        <f>$B$2-26</f>
        <v/>
      </c>
      <c r="F44" s="13">
        <f>$B$2-20</f>
        <v/>
      </c>
      <c r="G44" s="14" t="n"/>
      <c r="H44" s="14" t="n"/>
      <c r="I44" s="15" t="n">
        <v>240</v>
      </c>
      <c r="J44" s="11" t="inlineStr">
        <is>
          <t>増田</t>
        </is>
      </c>
      <c r="K44" s="11" t="inlineStr">
        <is>
          <t>境</t>
        </is>
      </c>
      <c r="L44" s="11" t="inlineStr">
        <is>
          <t>D-09</t>
        </is>
      </c>
      <c r="M44" s="12" t="inlineStr">
        <is>
          <t>法定：会社法301条・302条</t>
        </is>
      </c>
      <c r="N44" s="16" t="inlineStr">
        <is>
          <t>未着手</t>
        </is>
      </c>
      <c r="O44" s="12" t="inlineStr">
        <is>
          <t>33名の株主に対する説明が今回の実質的な山場。分かりやすさを優先する</t>
        </is>
      </c>
    </row>
    <row r="45">
      <c r="A45" s="11" t="inlineStr">
        <is>
          <t>F-03</t>
        </is>
      </c>
      <c r="B45" s="12" t="inlineStr">
        <is>
          <t>招集通知・添付書類</t>
        </is>
      </c>
      <c r="C45" s="12" t="inlineStr">
        <is>
          <t>委任状用紙と議決権行使の案内の作成</t>
        </is>
      </c>
      <c r="D45" s="12" t="inlineStr">
        <is>
          <t>委任状の様式と、行使方法・返送期限を記載した案内文を作成する</t>
        </is>
      </c>
      <c r="E45" s="13">
        <f>$B$2-24</f>
        <v/>
      </c>
      <c r="F45" s="13">
        <f>$B$2-19</f>
        <v/>
      </c>
      <c r="G45" s="14" t="n"/>
      <c r="H45" s="14" t="n"/>
      <c r="I45" s="15" t="n">
        <v>120</v>
      </c>
      <c r="J45" s="11" t="inlineStr">
        <is>
          <t>境</t>
        </is>
      </c>
      <c r="K45" s="11" t="inlineStr">
        <is>
          <t>増田</t>
        </is>
      </c>
      <c r="L45" s="11" t="inlineStr">
        <is>
          <t>E-03</t>
        </is>
      </c>
      <c r="M45" s="12" t="inlineStr">
        <is>
          <t>社内</t>
        </is>
      </c>
      <c r="N45" s="16" t="inlineStr">
        <is>
          <t>未着手</t>
        </is>
      </c>
      <c r="O45" s="12" t="inlineStr">
        <is>
          <t>定足数の確保はこの委任状の回収にかかっている</t>
        </is>
      </c>
    </row>
    <row r="46">
      <c r="A46" s="11" t="inlineStr">
        <is>
          <t>F-04</t>
        </is>
      </c>
      <c r="B46" s="12" t="inlineStr">
        <is>
          <t>招集通知・添付書類</t>
        </is>
      </c>
      <c r="C46" s="12" t="inlineStr">
        <is>
          <t>添付書類の最終版差し替え</t>
        </is>
      </c>
      <c r="D46" s="12" t="inlineStr">
        <is>
          <t>計算書類・事業報告・監査報告の確定版を招集通知の添付書類として組み込む</t>
        </is>
      </c>
      <c r="E46" s="13">
        <f>$B$2-17</f>
        <v/>
      </c>
      <c r="F46" s="13">
        <f>$B$2-15</f>
        <v/>
      </c>
      <c r="G46" s="14" t="n"/>
      <c r="H46" s="14" t="n"/>
      <c r="I46" s="15" t="n">
        <v>90</v>
      </c>
      <c r="J46" s="11" t="inlineStr">
        <is>
          <t>境</t>
        </is>
      </c>
      <c r="K46" s="11" t="inlineStr">
        <is>
          <t>増田</t>
        </is>
      </c>
      <c r="L46" s="11" t="inlineStr">
        <is>
          <t>C-08</t>
        </is>
      </c>
      <c r="M46" s="12" t="inlineStr">
        <is>
          <t>法定：会社法437条</t>
        </is>
      </c>
      <c r="N46" s="16" t="inlineStr">
        <is>
          <t>未着手</t>
        </is>
      </c>
      <c r="O46" s="12" t="inlineStr">
        <is>
          <t>監査報告の添付漏れは決議取消事由になり得る</t>
        </is>
      </c>
    </row>
    <row r="47">
      <c r="A47" s="11" t="inlineStr">
        <is>
          <t>F-05</t>
        </is>
      </c>
      <c r="B47" s="12" t="inlineStr">
        <is>
          <t>招集通知・添付書類</t>
        </is>
      </c>
      <c r="C47" s="12" t="inlineStr">
        <is>
          <t>招集通知一式の最終リーガルチェック</t>
        </is>
      </c>
      <c r="D47" s="12" t="inlineStr">
        <is>
          <t>招集通知・参考書類・添付書類・委任状を通しで確認し、記載漏れと日付の齟齬を潰す</t>
        </is>
      </c>
      <c r="E47" s="13">
        <f>$B$2-15</f>
        <v/>
      </c>
      <c r="F47" s="13">
        <f>$B$2-13</f>
        <v/>
      </c>
      <c r="G47" s="14" t="n"/>
      <c r="H47" s="14" t="n"/>
      <c r="I47" s="15" t="n">
        <v>120</v>
      </c>
      <c r="J47" s="11" t="inlineStr">
        <is>
          <t>増田</t>
        </is>
      </c>
      <c r="K47" s="11" t="inlineStr">
        <is>
          <t>境</t>
        </is>
      </c>
      <c r="L47" s="11" t="inlineStr">
        <is>
          <t>F-04</t>
        </is>
      </c>
      <c r="M47" s="12" t="inlineStr">
        <is>
          <t>社内</t>
        </is>
      </c>
      <c r="N47" s="16" t="inlineStr">
        <is>
          <t>未着手</t>
        </is>
      </c>
      <c r="O47" s="12" t="inlineStr">
        <is>
          <t>発送してしまうと取り返しがつかない。ここが最後の関門</t>
        </is>
      </c>
    </row>
    <row r="48">
      <c r="A48" s="11" t="inlineStr">
        <is>
          <t>F-06</t>
        </is>
      </c>
      <c r="B48" s="12" t="inlineStr">
        <is>
          <t>招集通知・添付書類</t>
        </is>
      </c>
      <c r="C48" s="12" t="inlineStr">
        <is>
          <t>印刷・封入資材の準備</t>
        </is>
      </c>
      <c r="D48" s="12" t="inlineStr">
        <is>
          <t>33通分の印刷・封入・宛名書きを行い、発送できる状態にする</t>
        </is>
      </c>
      <c r="E48" s="13">
        <f>$B$2-13</f>
        <v/>
      </c>
      <c r="F48" s="13">
        <f>$B$2-11</f>
        <v/>
      </c>
      <c r="G48" s="14" t="n"/>
      <c r="H48" s="14" t="n"/>
      <c r="I48" s="15" t="n">
        <v>180</v>
      </c>
      <c r="J48" s="11" t="inlineStr">
        <is>
          <t>境</t>
        </is>
      </c>
      <c r="K48" s="11" t="inlineStr">
        <is>
          <t>増田</t>
        </is>
      </c>
      <c r="L48" s="11" t="inlineStr">
        <is>
          <t>F-05</t>
        </is>
      </c>
      <c r="M48" s="12" t="inlineStr">
        <is>
          <t>社内</t>
        </is>
      </c>
      <c r="N48" s="16" t="inlineStr">
        <is>
          <t>未着手</t>
        </is>
      </c>
      <c r="O48" s="12" t="inlineStr">
        <is>
          <t>手作業が中心。二人で分担すれば実時間は半分になる</t>
        </is>
      </c>
    </row>
    <row r="49">
      <c r="A49" s="11" t="inlineStr">
        <is>
          <t>F-07</t>
        </is>
      </c>
      <c r="B49" s="12" t="inlineStr">
        <is>
          <t>招集通知・添付書類</t>
        </is>
      </c>
      <c r="C49" s="12" t="inlineStr">
        <is>
          <t>招集通知の発送</t>
        </is>
      </c>
      <c r="D49" s="12" t="inlineStr">
        <is>
          <t>全株主へ招集通知一式を発送する</t>
        </is>
      </c>
      <c r="E49" s="13">
        <f>$B$2-10</f>
        <v/>
      </c>
      <c r="F49" s="13">
        <f>$B$2-10</f>
        <v/>
      </c>
      <c r="G49" s="14" t="n"/>
      <c r="H49" s="14" t="n"/>
      <c r="I49" s="15" t="n">
        <v>60</v>
      </c>
      <c r="J49" s="11" t="inlineStr">
        <is>
          <t>境</t>
        </is>
      </c>
      <c r="K49" s="11" t="inlineStr">
        <is>
          <t>増田</t>
        </is>
      </c>
      <c r="L49" s="11" t="inlineStr">
        <is>
          <t>F-06</t>
        </is>
      </c>
      <c r="M49" s="12" t="inlineStr">
        <is>
          <t>法定：会社法299条1項（総会の日の1週間前まで）</t>
        </is>
      </c>
      <c r="N49" s="16" t="inlineStr">
        <is>
          <t>未着手</t>
        </is>
      </c>
      <c r="O49" s="12" t="inlineStr">
        <is>
          <t>法定期限は開催日の8日前。2日の余裕を見て10日前に発送する計画としている</t>
        </is>
      </c>
    </row>
    <row r="50">
      <c r="A50" s="11" t="inlineStr">
        <is>
          <t>F-08</t>
        </is>
      </c>
      <c r="B50" s="12" t="inlineStr">
        <is>
          <t>招集通知・添付書類</t>
        </is>
      </c>
      <c r="C50" s="12" t="inlineStr">
        <is>
          <t>発送記録の作成と返戻対応</t>
        </is>
      </c>
      <c r="D50" s="12" t="inlineStr">
        <is>
          <t>発送日・発送方法・宛先を記録し、返戻があれば所在を調査して再送する</t>
        </is>
      </c>
      <c r="E50" s="13">
        <f>$B$2-9</f>
        <v/>
      </c>
      <c r="F50" s="13">
        <f>$B$2-3</f>
        <v/>
      </c>
      <c r="G50" s="14" t="n"/>
      <c r="H50" s="14" t="n"/>
      <c r="I50" s="15" t="n">
        <v>60</v>
      </c>
      <c r="J50" s="11" t="inlineStr">
        <is>
          <t>境</t>
        </is>
      </c>
      <c r="K50" s="11" t="inlineStr">
        <is>
          <t>増田</t>
        </is>
      </c>
      <c r="L50" s="11" t="inlineStr">
        <is>
          <t>F-07</t>
        </is>
      </c>
      <c r="M50" s="12" t="inlineStr">
        <is>
          <t>法定：会社法299条1項</t>
        </is>
      </c>
      <c r="N50" s="16" t="inlineStr">
        <is>
          <t>未着手</t>
        </is>
      </c>
      <c r="O50" s="12" t="inlineStr">
        <is>
          <t>発送の事実を証明できる形で残す</t>
        </is>
      </c>
    </row>
    <row r="51">
      <c r="A51" s="11" t="inlineStr">
        <is>
          <t>G-01</t>
        </is>
      </c>
      <c r="B51" s="12" t="inlineStr">
        <is>
          <t>総会前の株主対応</t>
        </is>
      </c>
      <c r="C51" s="12" t="inlineStr">
        <is>
          <t>進行シナリオ（議長台本）の作成</t>
        </is>
      </c>
      <c r="D51" s="12" t="inlineStr">
        <is>
          <t>開会から閉会までの進行を、決議要件の読み上げと採決方法を含めて台本化する</t>
        </is>
      </c>
      <c r="E51" s="13">
        <f>$B$2-20</f>
        <v/>
      </c>
      <c r="F51" s="13">
        <f>$B$2-12</f>
        <v/>
      </c>
      <c r="G51" s="14" t="n"/>
      <c r="H51" s="14" t="n"/>
      <c r="I51" s="15" t="n">
        <v>240</v>
      </c>
      <c r="J51" s="11" t="inlineStr">
        <is>
          <t>増田</t>
        </is>
      </c>
      <c r="K51" s="11" t="inlineStr">
        <is>
          <t>境</t>
        </is>
      </c>
      <c r="L51" s="11" t="inlineStr">
        <is>
          <t>D-07</t>
        </is>
      </c>
      <c r="M51" s="12" t="inlineStr">
        <is>
          <t>社内</t>
        </is>
      </c>
      <c r="N51" s="16" t="inlineStr">
        <is>
          <t>未着手</t>
        </is>
      </c>
      <c r="O51" s="12" t="inlineStr">
        <is>
          <t>定款変更の可決を確認してから役員選任に移る流れを明記する</t>
        </is>
      </c>
    </row>
    <row r="52">
      <c r="A52" s="11" t="inlineStr">
        <is>
          <t>G-02</t>
        </is>
      </c>
      <c r="B52" s="12" t="inlineStr">
        <is>
          <t>総会前の株主対応</t>
        </is>
      </c>
      <c r="C52" s="12" t="inlineStr">
        <is>
          <t>想定問答集の作成</t>
        </is>
      </c>
      <c r="D52" s="12" t="inlineStr">
        <is>
          <t>譲渡制限撤廃の理由・今後の資本政策・開催が遅れた経緯・役員体制について、想定される質問と回答を整理する</t>
        </is>
      </c>
      <c r="E52" s="13">
        <f>$B$2-20</f>
        <v/>
      </c>
      <c r="F52" s="13">
        <f>$B$2-10</f>
        <v/>
      </c>
      <c r="G52" s="14" t="n"/>
      <c r="H52" s="14" t="n"/>
      <c r="I52" s="15" t="n">
        <v>240</v>
      </c>
      <c r="J52" s="11" t="inlineStr">
        <is>
          <t>増田</t>
        </is>
      </c>
      <c r="K52" s="11" t="inlineStr">
        <is>
          <t>境</t>
        </is>
      </c>
      <c r="L52" s="11" t="inlineStr">
        <is>
          <t>F-02</t>
        </is>
      </c>
      <c r="M52" s="12" t="inlineStr">
        <is>
          <t>法定：会社法314条（説明義務）</t>
        </is>
      </c>
      <c r="N52" s="16" t="inlineStr">
        <is>
          <t>未着手</t>
        </is>
      </c>
      <c r="O52" s="12" t="inlineStr">
        <is>
          <t>遅延の経緯は必ず聞かれる前提で準備する</t>
        </is>
      </c>
    </row>
    <row r="53">
      <c r="A53" s="11" t="inlineStr">
        <is>
          <t>G-03</t>
        </is>
      </c>
      <c r="B53" s="12" t="inlineStr">
        <is>
          <t>総会前の株主対応</t>
        </is>
      </c>
      <c r="C53" s="12" t="inlineStr">
        <is>
          <t>委任状の回収と管理</t>
        </is>
      </c>
      <c r="D53" s="12" t="inlineStr">
        <is>
          <t>返送された委任状を受け付け、記載の不備を確認しながら議決権数を集計する</t>
        </is>
      </c>
      <c r="E53" s="13">
        <f>$B$2-9</f>
        <v/>
      </c>
      <c r="F53" s="13">
        <f>$B$2-1</f>
        <v/>
      </c>
      <c r="G53" s="14" t="n"/>
      <c r="H53" s="14" t="n"/>
      <c r="I53" s="15" t="n">
        <v>120</v>
      </c>
      <c r="J53" s="11" t="inlineStr">
        <is>
          <t>境</t>
        </is>
      </c>
      <c r="K53" s="11" t="inlineStr">
        <is>
          <t>増田</t>
        </is>
      </c>
      <c r="L53" s="11" t="inlineStr">
        <is>
          <t>F-07</t>
        </is>
      </c>
      <c r="M53" s="12" t="inlineStr">
        <is>
          <t>社内</t>
        </is>
      </c>
      <c r="N53" s="16" t="inlineStr">
        <is>
          <t>未着手</t>
        </is>
      </c>
      <c r="O53" s="12" t="inlineStr">
        <is>
          <t>不備のある委任状の取扱い方針を先に決めておく</t>
        </is>
      </c>
    </row>
    <row r="54">
      <c r="A54" s="11" t="inlineStr">
        <is>
          <t>G-04</t>
        </is>
      </c>
      <c r="B54" s="12" t="inlineStr">
        <is>
          <t>総会前の株主対応</t>
        </is>
      </c>
      <c r="C54" s="12" t="inlineStr">
        <is>
          <t>出席予定と定足数見込みの確認</t>
        </is>
      </c>
      <c r="D54" s="12" t="inlineStr">
        <is>
          <t>出席予定と委任状を合算し、特別決議の可決に必要な議決権数を満たせるかを確認する</t>
        </is>
      </c>
      <c r="E54" s="13">
        <f>$B$2-5</f>
        <v/>
      </c>
      <c r="F54" s="13">
        <f>$B$2-1</f>
        <v/>
      </c>
      <c r="G54" s="14" t="n"/>
      <c r="H54" s="14" t="n"/>
      <c r="I54" s="15" t="n">
        <v>60</v>
      </c>
      <c r="J54" s="11" t="inlineStr">
        <is>
          <t>境</t>
        </is>
      </c>
      <c r="K54" s="11" t="inlineStr">
        <is>
          <t>増田</t>
        </is>
      </c>
      <c r="L54" s="11" t="inlineStr">
        <is>
          <t>G-03</t>
        </is>
      </c>
      <c r="M54" s="12" t="inlineStr">
        <is>
          <t>社内</t>
        </is>
      </c>
      <c r="N54" s="16" t="inlineStr">
        <is>
          <t>未着手</t>
        </is>
      </c>
      <c r="O54" s="12" t="inlineStr">
        <is>
          <t>満たさない見込みなら、この時点で大株主へ再度働きかける</t>
        </is>
      </c>
    </row>
    <row r="55">
      <c r="A55" s="11" t="inlineStr">
        <is>
          <t>G-05</t>
        </is>
      </c>
      <c r="B55" s="12" t="inlineStr">
        <is>
          <t>総会前の株主対応</t>
        </is>
      </c>
      <c r="C55" s="12" t="inlineStr">
        <is>
          <t>大株主への事前説明</t>
        </is>
      </c>
      <c r="D55" s="12" t="inlineStr">
        <is>
          <t>70％株主および10％株主へ議案の内容を事前に説明し、出席または委任状の提出を依頼する</t>
        </is>
      </c>
      <c r="E55" s="13">
        <f>$B$2-9</f>
        <v/>
      </c>
      <c r="F55" s="13">
        <f>$B$2-4</f>
        <v/>
      </c>
      <c r="G55" s="14" t="n"/>
      <c r="H55" s="14" t="n"/>
      <c r="I55" s="15" t="n">
        <v>120</v>
      </c>
      <c r="J55" s="11" t="inlineStr">
        <is>
          <t>増田</t>
        </is>
      </c>
      <c r="K55" s="11" t="inlineStr">
        <is>
          <t>境</t>
        </is>
      </c>
      <c r="L55" s="11" t="inlineStr">
        <is>
          <t>F-07</t>
        </is>
      </c>
      <c r="M55" s="12" t="inlineStr">
        <is>
          <t>社内</t>
        </is>
      </c>
      <c r="N55" s="16" t="inlineStr">
        <is>
          <t>未着手</t>
        </is>
      </c>
      <c r="O55" s="12" t="inlineStr">
        <is>
          <t>特別決議の成否がここで実質的に決まる</t>
        </is>
      </c>
    </row>
    <row r="56">
      <c r="A56" s="11" t="inlineStr">
        <is>
          <t>G-06</t>
        </is>
      </c>
      <c r="B56" s="12" t="inlineStr">
        <is>
          <t>総会前の株主対応</t>
        </is>
      </c>
      <c r="C56" s="12" t="inlineStr">
        <is>
          <t>会場・受付・資料の準備</t>
        </is>
      </c>
      <c r="D56" s="12" t="inlineStr">
        <is>
          <t>会場の設営計画、受付名簿、当日配布資料、議決権集計様式を準備する</t>
        </is>
      </c>
      <c r="E56" s="13">
        <f>$B$2-5</f>
        <v/>
      </c>
      <c r="F56" s="13">
        <f>$B$2-1</f>
        <v/>
      </c>
      <c r="G56" s="14" t="n"/>
      <c r="H56" s="14" t="n"/>
      <c r="I56" s="15" t="n">
        <v>120</v>
      </c>
      <c r="J56" s="11" t="inlineStr">
        <is>
          <t>境</t>
        </is>
      </c>
      <c r="K56" s="11" t="inlineStr">
        <is>
          <t>増田</t>
        </is>
      </c>
      <c r="L56" s="11" t="inlineStr">
        <is>
          <t>G-01</t>
        </is>
      </c>
      <c r="M56" s="12" t="inlineStr">
        <is>
          <t>社内</t>
        </is>
      </c>
      <c r="N56" s="16" t="inlineStr">
        <is>
          <t>未着手</t>
        </is>
      </c>
      <c r="O56" s="12" t="inlineStr"/>
    </row>
    <row r="57">
      <c r="A57" s="11" t="inlineStr">
        <is>
          <t>G-07</t>
        </is>
      </c>
      <c r="B57" s="12" t="inlineStr">
        <is>
          <t>総会前の株主対応</t>
        </is>
      </c>
      <c r="C57" s="12" t="inlineStr">
        <is>
          <t>リハーサルの実施</t>
        </is>
      </c>
      <c r="D57" s="12" t="inlineStr">
        <is>
          <t>議長・役員が参加し、本番想定で進行と質疑応答を通す</t>
        </is>
      </c>
      <c r="E57" s="13">
        <f>$B$2-3</f>
        <v/>
      </c>
      <c r="F57" s="13">
        <f>$B$2-3</f>
        <v/>
      </c>
      <c r="G57" s="14" t="n"/>
      <c r="H57" s="14" t="n"/>
      <c r="I57" s="15" t="n">
        <v>120</v>
      </c>
      <c r="J57" s="11" t="inlineStr">
        <is>
          <t>増田</t>
        </is>
      </c>
      <c r="K57" s="11" t="inlineStr">
        <is>
          <t>境</t>
        </is>
      </c>
      <c r="L57" s="11" t="inlineStr">
        <is>
          <t>G-02</t>
        </is>
      </c>
      <c r="M57" s="12" t="inlineStr">
        <is>
          <t>社内</t>
        </is>
      </c>
      <c r="N57" s="16" t="inlineStr">
        <is>
          <t>未着手</t>
        </is>
      </c>
      <c r="O57" s="12" t="inlineStr">
        <is>
          <t>議長が決議要件を正しく読み上げられるかを重点的に確認する</t>
        </is>
      </c>
    </row>
    <row r="58">
      <c r="A58" s="11" t="inlineStr">
        <is>
          <t>H-01</t>
        </is>
      </c>
      <c r="B58" s="12" t="inlineStr">
        <is>
          <t>当日運営</t>
        </is>
      </c>
      <c r="C58" s="12" t="inlineStr">
        <is>
          <t>会場設営と受付準備</t>
        </is>
      </c>
      <c r="D58" s="12" t="inlineStr">
        <is>
          <t>会場を設営し、受付・資料・記録機材を配置する</t>
        </is>
      </c>
      <c r="E58" s="13">
        <f>$B$2</f>
        <v/>
      </c>
      <c r="F58" s="13">
        <f>$B$2</f>
        <v/>
      </c>
      <c r="G58" s="14" t="n"/>
      <c r="H58" s="14" t="n"/>
      <c r="I58" s="15" t="n">
        <v>60</v>
      </c>
      <c r="J58" s="11" t="inlineStr">
        <is>
          <t>境</t>
        </is>
      </c>
      <c r="K58" s="11" t="inlineStr">
        <is>
          <t>増田</t>
        </is>
      </c>
      <c r="L58" s="11" t="inlineStr">
        <is>
          <t>G-06</t>
        </is>
      </c>
      <c r="M58" s="12" t="inlineStr">
        <is>
          <t>社内</t>
        </is>
      </c>
      <c r="N58" s="16" t="inlineStr">
        <is>
          <t>未着手</t>
        </is>
      </c>
      <c r="O58" s="12" t="inlineStr"/>
    </row>
    <row r="59">
      <c r="A59" s="11" t="inlineStr">
        <is>
          <t>H-02</t>
        </is>
      </c>
      <c r="B59" s="12" t="inlineStr">
        <is>
          <t>当日運営</t>
        </is>
      </c>
      <c r="C59" s="12" t="inlineStr">
        <is>
          <t>受付・本人確認・議決権個数の確認</t>
        </is>
      </c>
      <c r="D59" s="12" t="inlineStr">
        <is>
          <t>出席株主と代理人の本人確認を行い、委任状を確認して議決権個数を確定する</t>
        </is>
      </c>
      <c r="E59" s="13">
        <f>$B$2</f>
        <v/>
      </c>
      <c r="F59" s="13">
        <f>$B$2</f>
        <v/>
      </c>
      <c r="G59" s="14" t="n"/>
      <c r="H59" s="14" t="n"/>
      <c r="I59" s="15" t="n">
        <v>45</v>
      </c>
      <c r="J59" s="11" t="inlineStr">
        <is>
          <t>境</t>
        </is>
      </c>
      <c r="K59" s="11" t="inlineStr">
        <is>
          <t>増田</t>
        </is>
      </c>
      <c r="L59" s="11" t="inlineStr">
        <is>
          <t>H-01</t>
        </is>
      </c>
      <c r="M59" s="12" t="inlineStr">
        <is>
          <t>社内</t>
        </is>
      </c>
      <c r="N59" s="16" t="inlineStr">
        <is>
          <t>未着手</t>
        </is>
      </c>
      <c r="O59" s="12" t="inlineStr">
        <is>
          <t>代理人の資格を定款で制限している場合はその確認も行う</t>
        </is>
      </c>
    </row>
    <row r="60">
      <c r="A60" s="11" t="inlineStr">
        <is>
          <t>H-03</t>
        </is>
      </c>
      <c r="B60" s="12" t="inlineStr">
        <is>
          <t>当日運営</t>
        </is>
      </c>
      <c r="C60" s="12" t="inlineStr">
        <is>
          <t>定足数の確認と開会</t>
        </is>
      </c>
      <c r="D60" s="12" t="inlineStr">
        <is>
          <t>出席議決権数を集計して定足数の充足を確認し、議長が開会を宣言する</t>
        </is>
      </c>
      <c r="E60" s="13">
        <f>$B$2</f>
        <v/>
      </c>
      <c r="F60" s="13">
        <f>$B$2</f>
        <v/>
      </c>
      <c r="G60" s="14" t="n"/>
      <c r="H60" s="14" t="n"/>
      <c r="I60" s="15" t="n">
        <v>15</v>
      </c>
      <c r="J60" s="11" t="inlineStr">
        <is>
          <t>増田</t>
        </is>
      </c>
      <c r="K60" s="11" t="inlineStr">
        <is>
          <t>境</t>
        </is>
      </c>
      <c r="L60" s="11" t="inlineStr">
        <is>
          <t>H-02</t>
        </is>
      </c>
      <c r="M60" s="12" t="inlineStr">
        <is>
          <t>法定：会社法309条</t>
        </is>
      </c>
      <c r="N60" s="16" t="inlineStr">
        <is>
          <t>未着手</t>
        </is>
      </c>
      <c r="O60" s="12" t="inlineStr">
        <is>
          <t>定足数の充足を議事録に記載できる形で確認する</t>
        </is>
      </c>
    </row>
    <row r="61">
      <c r="A61" s="11" t="inlineStr">
        <is>
          <t>H-04</t>
        </is>
      </c>
      <c r="B61" s="12" t="inlineStr">
        <is>
          <t>当日運営</t>
        </is>
      </c>
      <c r="C61" s="12" t="inlineStr">
        <is>
          <t>事業報告・計算書類の報告および監査報告</t>
        </is>
      </c>
      <c r="D61" s="12" t="inlineStr">
        <is>
          <t>第10期の事業報告と計算書類の内容を報告し、監査役会の監査結果を報告する</t>
        </is>
      </c>
      <c r="E61" s="13">
        <f>$B$2</f>
        <v/>
      </c>
      <c r="F61" s="13">
        <f>$B$2</f>
        <v/>
      </c>
      <c r="G61" s="14" t="n"/>
      <c r="H61" s="14" t="n"/>
      <c r="I61" s="15" t="n">
        <v>20</v>
      </c>
      <c r="J61" s="11" t="inlineStr">
        <is>
          <t>増田</t>
        </is>
      </c>
      <c r="K61" s="11" t="inlineStr">
        <is>
          <t>境</t>
        </is>
      </c>
      <c r="L61" s="11" t="inlineStr">
        <is>
          <t>H-03</t>
        </is>
      </c>
      <c r="M61" s="12" t="inlineStr">
        <is>
          <t>法定：会社法438条</t>
        </is>
      </c>
      <c r="N61" s="16" t="inlineStr">
        <is>
          <t>未着手</t>
        </is>
      </c>
      <c r="O61" s="12" t="inlineStr">
        <is>
          <t>会計監査人非設置のため、計算書類は総会の承認が必要</t>
        </is>
      </c>
    </row>
    <row r="62">
      <c r="A62" s="11" t="inlineStr">
        <is>
          <t>H-05</t>
        </is>
      </c>
      <c r="B62" s="12" t="inlineStr">
        <is>
          <t>当日運営</t>
        </is>
      </c>
      <c r="C62" s="12" t="inlineStr">
        <is>
          <t>議案の上程・質疑応答・採決</t>
        </is>
      </c>
      <c r="D62" s="12" t="inlineStr">
        <is>
          <t>第1号議案から順に上程し、質疑に応答したうえで採決し、賛否の議決権数を確定する</t>
        </is>
      </c>
      <c r="E62" s="13">
        <f>$B$2</f>
        <v/>
      </c>
      <c r="F62" s="13">
        <f>$B$2</f>
        <v/>
      </c>
      <c r="G62" s="14" t="n"/>
      <c r="H62" s="14" t="n"/>
      <c r="I62" s="15" t="n">
        <v>40</v>
      </c>
      <c r="J62" s="11" t="inlineStr">
        <is>
          <t>増田</t>
        </is>
      </c>
      <c r="K62" s="11" t="inlineStr">
        <is>
          <t>境</t>
        </is>
      </c>
      <c r="L62" s="11" t="inlineStr">
        <is>
          <t>H-04</t>
        </is>
      </c>
      <c r="M62" s="12" t="inlineStr">
        <is>
          <t>法定：会社法309条・314条</t>
        </is>
      </c>
      <c r="N62" s="16" t="inlineStr">
        <is>
          <t>未着手</t>
        </is>
      </c>
      <c r="O62" s="12" t="inlineStr">
        <is>
          <t>定款変更の可決を確認してから役員選任に進む</t>
        </is>
      </c>
    </row>
    <row r="63">
      <c r="A63" s="11" t="inlineStr">
        <is>
          <t>H-06</t>
        </is>
      </c>
      <c r="B63" s="12" t="inlineStr">
        <is>
          <t>当日運営</t>
        </is>
      </c>
      <c r="C63" s="12" t="inlineStr">
        <is>
          <t>議事の記録</t>
        </is>
      </c>
      <c r="D63" s="12" t="inlineStr">
        <is>
          <t>議事の経過と結果、質疑の内容を書記が記録し、あわせて録音する</t>
        </is>
      </c>
      <c r="E63" s="13">
        <f>$B$2</f>
        <v/>
      </c>
      <c r="F63" s="13">
        <f>$B$2</f>
        <v/>
      </c>
      <c r="G63" s="14" t="n"/>
      <c r="H63" s="14" t="n"/>
      <c r="I63" s="15" t="n">
        <v>60</v>
      </c>
      <c r="J63" s="11" t="inlineStr">
        <is>
          <t>境</t>
        </is>
      </c>
      <c r="K63" s="11" t="inlineStr">
        <is>
          <t>増田</t>
        </is>
      </c>
      <c r="L63" s="11" t="inlineStr">
        <is>
          <t>H-03</t>
        </is>
      </c>
      <c r="M63" s="12" t="inlineStr">
        <is>
          <t>法定：会社法318条1項</t>
        </is>
      </c>
      <c r="N63" s="16" t="inlineStr">
        <is>
          <t>未着手</t>
        </is>
      </c>
      <c r="O63" s="12" t="inlineStr">
        <is>
          <t>H-03からH-05と並行して行う。議事録作成の材料になる</t>
        </is>
      </c>
    </row>
    <row r="64">
      <c r="A64" s="11" t="inlineStr">
        <is>
          <t>H-07</t>
        </is>
      </c>
      <c r="B64" s="12" t="inlineStr">
        <is>
          <t>当日運営</t>
        </is>
      </c>
      <c r="C64" s="12" t="inlineStr">
        <is>
          <t>総会終結後の取締役会・監査役会</t>
        </is>
      </c>
      <c r="D64" s="12" t="inlineStr">
        <is>
          <t>取締役会で代表取締役を選定し、監査役会で常勤監査役および議長を選定する</t>
        </is>
      </c>
      <c r="E64" s="13">
        <f>$B$2</f>
        <v/>
      </c>
      <c r="F64" s="13">
        <f>$B$2</f>
        <v/>
      </c>
      <c r="G64" s="14" t="n"/>
      <c r="H64" s="14" t="n"/>
      <c r="I64" s="15" t="n">
        <v>30</v>
      </c>
      <c r="J64" s="11" t="inlineStr">
        <is>
          <t>増田</t>
        </is>
      </c>
      <c r="K64" s="11" t="inlineStr">
        <is>
          <t>境</t>
        </is>
      </c>
      <c r="L64" s="11" t="inlineStr">
        <is>
          <t>H-05</t>
        </is>
      </c>
      <c r="M64" s="12" t="inlineStr">
        <is>
          <t>法定：会社法362条3項・390条3項</t>
        </is>
      </c>
      <c r="N64" s="16" t="inlineStr">
        <is>
          <t>未着手</t>
        </is>
      </c>
      <c r="O64" s="12" t="inlineStr">
        <is>
          <t>役員が全員改選になるため、当日中の開催が必須</t>
        </is>
      </c>
    </row>
    <row r="65">
      <c r="A65" s="11" t="inlineStr">
        <is>
          <t>H-08</t>
        </is>
      </c>
      <c r="B65" s="12" t="inlineStr">
        <is>
          <t>当日運営</t>
        </is>
      </c>
      <c r="C65" s="12" t="inlineStr">
        <is>
          <t>決議結果の周知方針の確認</t>
        </is>
      </c>
      <c r="D65" s="12" t="inlineStr">
        <is>
          <t>欠席株主への決議通知の要否と方法を確認する</t>
        </is>
      </c>
      <c r="E65" s="13">
        <f>$B$2</f>
        <v/>
      </c>
      <c r="F65" s="13">
        <f>$B$2</f>
        <v/>
      </c>
      <c r="G65" s="14" t="n"/>
      <c r="H65" s="14" t="n"/>
      <c r="I65" s="15" t="n">
        <v>15</v>
      </c>
      <c r="J65" s="11" t="inlineStr">
        <is>
          <t>境</t>
        </is>
      </c>
      <c r="K65" s="11" t="inlineStr">
        <is>
          <t>増田</t>
        </is>
      </c>
      <c r="L65" s="11" t="inlineStr">
        <is>
          <t>H-05</t>
        </is>
      </c>
      <c r="M65" s="12" t="inlineStr">
        <is>
          <t>社内</t>
        </is>
      </c>
      <c r="N65" s="16" t="inlineStr">
        <is>
          <t>未着手</t>
        </is>
      </c>
      <c r="O65" s="12" t="inlineStr"/>
    </row>
    <row r="66">
      <c r="A66" s="11" t="inlineStr">
        <is>
          <t>I-01</t>
        </is>
      </c>
      <c r="B66" s="12" t="inlineStr">
        <is>
          <t>総会後の手続</t>
        </is>
      </c>
      <c r="C66" s="12" t="inlineStr">
        <is>
          <t>株主総会議事録の作成</t>
        </is>
      </c>
      <c r="D66" s="12" t="inlineStr">
        <is>
          <t>開催日時・場所・議事の経過の要領・結果・出席役員等を記載した議事録を作成する</t>
        </is>
      </c>
      <c r="E66" s="13">
        <f>$B$2+1</f>
        <v/>
      </c>
      <c r="F66" s="13">
        <f>$B$2+5</f>
        <v/>
      </c>
      <c r="G66" s="14" t="n"/>
      <c r="H66" s="14" t="n"/>
      <c r="I66" s="15" t="n">
        <v>180</v>
      </c>
      <c r="J66" s="11" t="inlineStr">
        <is>
          <t>増田</t>
        </is>
      </c>
      <c r="K66" s="11" t="inlineStr">
        <is>
          <t>境</t>
        </is>
      </c>
      <c r="L66" s="11" t="inlineStr">
        <is>
          <t>H-06</t>
        </is>
      </c>
      <c r="M66" s="12" t="inlineStr">
        <is>
          <t>法定：会社法318条・会社法施行規則72条3項</t>
        </is>
      </c>
      <c r="N66" s="16" t="inlineStr">
        <is>
          <t>未着手</t>
        </is>
      </c>
      <c r="O66" s="12" t="inlineStr">
        <is>
          <t>登記の添付書類になるため、登記申請から逆算して早期に確定させる</t>
        </is>
      </c>
    </row>
    <row r="67">
      <c r="A67" s="11" t="inlineStr">
        <is>
          <t>I-02</t>
        </is>
      </c>
      <c r="B67" s="12" t="inlineStr">
        <is>
          <t>総会後の手続</t>
        </is>
      </c>
      <c r="C67" s="12" t="inlineStr">
        <is>
          <t>取締役会議事録・監査役会議事録の作成</t>
        </is>
      </c>
      <c r="D67" s="12" t="inlineStr">
        <is>
          <t>総会後に開催した取締役会および監査役会の議事録を作成し、押印を得る</t>
        </is>
      </c>
      <c r="E67" s="13">
        <f>$B$2+1</f>
        <v/>
      </c>
      <c r="F67" s="13">
        <f>$B$2+5</f>
        <v/>
      </c>
      <c r="G67" s="14" t="n"/>
      <c r="H67" s="14" t="n"/>
      <c r="I67" s="15" t="n">
        <v>120</v>
      </c>
      <c r="J67" s="11" t="inlineStr">
        <is>
          <t>境</t>
        </is>
      </c>
      <c r="K67" s="11" t="inlineStr">
        <is>
          <t>増田</t>
        </is>
      </c>
      <c r="L67" s="11" t="inlineStr">
        <is>
          <t>H-07</t>
        </is>
      </c>
      <c r="M67" s="12" t="inlineStr">
        <is>
          <t>法定：会社法369条3項・393条2項</t>
        </is>
      </c>
      <c r="N67" s="16" t="inlineStr">
        <is>
          <t>未着手</t>
        </is>
      </c>
      <c r="O67" s="12" t="inlineStr">
        <is>
          <t>代表取締役の選定を証する書面として登記に使う</t>
        </is>
      </c>
    </row>
    <row r="68">
      <c r="A68" s="11" t="inlineStr">
        <is>
          <t>I-03</t>
        </is>
      </c>
      <c r="B68" s="12" t="inlineStr">
        <is>
          <t>総会後の手続</t>
        </is>
      </c>
      <c r="C68" s="12" t="inlineStr">
        <is>
          <t>登記添付書類の取りまとめ</t>
        </is>
      </c>
      <c r="D68" s="12" t="inlineStr">
        <is>
          <t>就任承諾書・印鑑証明書・本人確認証明書などを揃え、不足を補う</t>
        </is>
      </c>
      <c r="E68" s="13">
        <f>$B$2+1</f>
        <v/>
      </c>
      <c r="F68" s="13">
        <f>$B$2+5</f>
        <v/>
      </c>
      <c r="G68" s="14" t="n"/>
      <c r="H68" s="14" t="n"/>
      <c r="I68" s="15" t="n">
        <v>90</v>
      </c>
      <c r="J68" s="11" t="inlineStr">
        <is>
          <t>境</t>
        </is>
      </c>
      <c r="K68" s="11" t="inlineStr">
        <is>
          <t>増田</t>
        </is>
      </c>
      <c r="L68" s="11" t="inlineStr">
        <is>
          <t>I-01</t>
        </is>
      </c>
      <c r="M68" s="12" t="inlineStr">
        <is>
          <t>法定：商業登記法54条</t>
        </is>
      </c>
      <c r="N68" s="16" t="inlineStr">
        <is>
          <t>未着手</t>
        </is>
      </c>
      <c r="O68" s="12" t="inlineStr">
        <is>
          <t>印鑑証明書の有効期限に注意する</t>
        </is>
      </c>
    </row>
    <row r="69">
      <c r="A69" s="11" t="inlineStr">
        <is>
          <t>I-04</t>
        </is>
      </c>
      <c r="B69" s="12" t="inlineStr">
        <is>
          <t>総会後の手続</t>
        </is>
      </c>
      <c r="C69" s="12" t="inlineStr">
        <is>
          <t>登記申請書類の司法書士への提供</t>
        </is>
      </c>
      <c r="D69" s="12" t="inlineStr">
        <is>
          <t>議事録および添付書類一式を前田先生へ引き渡し、申請内容を最終確認する</t>
        </is>
      </c>
      <c r="E69" s="13">
        <f>$B$2+5</f>
        <v/>
      </c>
      <c r="F69" s="13">
        <f>$B$2+7</f>
        <v/>
      </c>
      <c r="G69" s="14" t="n"/>
      <c r="H69" s="14" t="n"/>
      <c r="I69" s="15" t="n">
        <v>30</v>
      </c>
      <c r="J69" s="11" t="inlineStr">
        <is>
          <t>境</t>
        </is>
      </c>
      <c r="K69" s="11" t="inlineStr">
        <is>
          <t>増田</t>
        </is>
      </c>
      <c r="L69" s="11" t="inlineStr">
        <is>
          <t>I-03</t>
        </is>
      </c>
      <c r="M69" s="12" t="inlineStr">
        <is>
          <t>社内</t>
        </is>
      </c>
      <c r="N69" s="16" t="inlineStr">
        <is>
          <t>未着手</t>
        </is>
      </c>
      <c r="O69" s="12" t="inlineStr"/>
    </row>
    <row r="70">
      <c r="A70" s="11" t="inlineStr">
        <is>
          <t>I-05</t>
        </is>
      </c>
      <c r="B70" s="12" t="inlineStr">
        <is>
          <t>総会後の手続</t>
        </is>
      </c>
      <c r="C70" s="12" t="inlineStr">
        <is>
          <t>登記申請</t>
        </is>
      </c>
      <c r="D70" s="12" t="inlineStr">
        <is>
          <t>株式の譲渡制限に関する規定の廃止、公告方法の変更、役員変更の登記を申請する</t>
        </is>
      </c>
      <c r="E70" s="13">
        <f>$B$2+7</f>
        <v/>
      </c>
      <c r="F70" s="13">
        <f>$B$2+13</f>
        <v/>
      </c>
      <c r="G70" s="14" t="n"/>
      <c r="H70" s="14" t="n"/>
      <c r="I70" s="15" t="n">
        <v>60</v>
      </c>
      <c r="J70" s="11" t="inlineStr">
        <is>
          <t>増田</t>
        </is>
      </c>
      <c r="K70" s="11" t="inlineStr">
        <is>
          <t>境</t>
        </is>
      </c>
      <c r="L70" s="11" t="inlineStr">
        <is>
          <t>I-04</t>
        </is>
      </c>
      <c r="M70" s="12" t="inlineStr">
        <is>
          <t>法定：会社法915条1項（効力発生から2週間以内）</t>
        </is>
      </c>
      <c r="N70" s="16" t="inlineStr">
        <is>
          <t>未着手</t>
        </is>
      </c>
      <c r="O70" s="12" t="inlineStr">
        <is>
          <t>期限は総会日から2週間。申請自体は前田先生が行い、社内は照会対応</t>
        </is>
      </c>
    </row>
    <row r="71">
      <c r="A71" s="11" t="inlineStr">
        <is>
          <t>I-06</t>
        </is>
      </c>
      <c r="B71" s="12" t="inlineStr">
        <is>
          <t>総会後の手続</t>
        </is>
      </c>
      <c r="C71" s="12" t="inlineStr">
        <is>
          <t>登記完了の確認と証明書の取得</t>
        </is>
      </c>
      <c r="D71" s="12" t="inlineStr">
        <is>
          <t>登記完了後に履歴事項全部証明書を取得し、申請内容どおり反映されているかを確認する</t>
        </is>
      </c>
      <c r="E71" s="13">
        <f>$B$2+14</f>
        <v/>
      </c>
      <c r="F71" s="13">
        <f>$B$2+21</f>
        <v/>
      </c>
      <c r="G71" s="14" t="n"/>
      <c r="H71" s="14" t="n"/>
      <c r="I71" s="15" t="n">
        <v>45</v>
      </c>
      <c r="J71" s="11" t="inlineStr">
        <is>
          <t>境</t>
        </is>
      </c>
      <c r="K71" s="11" t="inlineStr">
        <is>
          <t>増田</t>
        </is>
      </c>
      <c r="L71" s="11" t="inlineStr">
        <is>
          <t>I-05</t>
        </is>
      </c>
      <c r="M71" s="12" t="inlineStr">
        <is>
          <t>社内</t>
        </is>
      </c>
      <c r="N71" s="16" t="inlineStr">
        <is>
          <t>未着手</t>
        </is>
      </c>
      <c r="O71" s="12" t="inlineStr"/>
    </row>
    <row r="72">
      <c r="A72" s="11" t="inlineStr">
        <is>
          <t>I-07</t>
        </is>
      </c>
      <c r="B72" s="12" t="inlineStr">
        <is>
          <t>総会後の手続</t>
        </is>
      </c>
      <c r="C72" s="12" t="inlineStr">
        <is>
          <t>電子公告ページの開設とURLの公示</t>
        </is>
      </c>
      <c r="D72" s="12" t="inlineStr">
        <is>
          <t>自社サイトに公告専用ページを開設し、登記されたURLで閲覧できる状態にする</t>
        </is>
      </c>
      <c r="E72" s="13">
        <f>$B$2+7</f>
        <v/>
      </c>
      <c r="F72" s="13">
        <f>$B$2+20</f>
        <v/>
      </c>
      <c r="G72" s="14" t="n"/>
      <c r="H72" s="14" t="n"/>
      <c r="I72" s="15" t="n">
        <v>120</v>
      </c>
      <c r="J72" s="11" t="inlineStr">
        <is>
          <t>境</t>
        </is>
      </c>
      <c r="K72" s="11" t="inlineStr">
        <is>
          <t>増田</t>
        </is>
      </c>
      <c r="L72" s="11" t="inlineStr">
        <is>
          <t>D-04</t>
        </is>
      </c>
      <c r="M72" s="12" t="inlineStr">
        <is>
          <t>法定：会社法911条3項28号・29号</t>
        </is>
      </c>
      <c r="N72" s="16" t="inlineStr">
        <is>
          <t>未着手</t>
        </is>
      </c>
      <c r="O72" s="12" t="inlineStr">
        <is>
          <t>登記されたURLと実際のURLが一致していないと公告として認められない</t>
        </is>
      </c>
    </row>
    <row r="73">
      <c r="A73" s="11" t="inlineStr">
        <is>
          <t>I-08</t>
        </is>
      </c>
      <c r="B73" s="12" t="inlineStr">
        <is>
          <t>総会後の手続</t>
        </is>
      </c>
      <c r="C73" s="12" t="inlineStr">
        <is>
          <t>第10期の決算公告の実施</t>
        </is>
      </c>
      <c r="D73" s="12" t="inlineStr">
        <is>
          <t>定時株主総会の終結後遅滞なく、貸借対照表を公告する</t>
        </is>
      </c>
      <c r="E73" s="13">
        <f>$B$2+14</f>
        <v/>
      </c>
      <c r="F73" s="13">
        <f>$B$2+25</f>
        <v/>
      </c>
      <c r="G73" s="14" t="n"/>
      <c r="H73" s="14" t="n"/>
      <c r="I73" s="15" t="n">
        <v>60</v>
      </c>
      <c r="J73" s="11" t="inlineStr">
        <is>
          <t>増田</t>
        </is>
      </c>
      <c r="K73" s="11" t="inlineStr">
        <is>
          <t>境</t>
        </is>
      </c>
      <c r="L73" s="11" t="inlineStr">
        <is>
          <t>I-07</t>
        </is>
      </c>
      <c r="M73" s="12" t="inlineStr">
        <is>
          <t>法定：会社法440条1項</t>
        </is>
      </c>
      <c r="N73" s="16" t="inlineStr">
        <is>
          <t>未着手</t>
        </is>
      </c>
      <c r="O73" s="12" t="inlineStr">
        <is>
          <t>電子公告の場合は5年間の継続掲載が必要。決算公告は調査機関の調査が不要</t>
        </is>
      </c>
    </row>
    <row r="74">
      <c r="A74" s="11" t="inlineStr">
        <is>
          <t>I-09</t>
        </is>
      </c>
      <c r="B74" s="12" t="inlineStr">
        <is>
          <t>総会後の手続</t>
        </is>
      </c>
      <c r="C74" s="12" t="inlineStr">
        <is>
          <t>第9期以前の決算公告の実施状況の確認</t>
        </is>
      </c>
      <c r="D74" s="12" t="inlineStr">
        <is>
          <t>過去の事業年度の決算公告が実施されているかを確認し、未了があれば対応方針を決める</t>
        </is>
      </c>
      <c r="E74" s="13">
        <f>$B$2+1</f>
        <v/>
      </c>
      <c r="F74" s="13">
        <f>$B$2+20</f>
        <v/>
      </c>
      <c r="G74" s="14" t="n"/>
      <c r="H74" s="14" t="n"/>
      <c r="I74" s="15" t="n">
        <v>60</v>
      </c>
      <c r="J74" s="11" t="inlineStr">
        <is>
          <t>増田</t>
        </is>
      </c>
      <c r="K74" s="11" t="inlineStr">
        <is>
          <t>境</t>
        </is>
      </c>
      <c r="L74" s="11" t="inlineStr"/>
      <c r="M74" s="12" t="inlineStr">
        <is>
          <t>法定：会社法440条1項・976条2号</t>
        </is>
      </c>
      <c r="N74" s="16" t="inlineStr">
        <is>
          <t>未着手</t>
        </is>
      </c>
      <c r="O74" s="12" t="inlineStr">
        <is>
          <t>未了は過料の対象になり得る。早めに実態を把握しておく</t>
        </is>
      </c>
    </row>
    <row r="75">
      <c r="A75" s="11" t="inlineStr">
        <is>
          <t>I-10</t>
        </is>
      </c>
      <c r="B75" s="12" t="inlineStr">
        <is>
          <t>総会後の手続</t>
        </is>
      </c>
      <c r="C75" s="12" t="inlineStr">
        <is>
          <t>議事録の本店備置と保存台帳の整備</t>
        </is>
      </c>
      <c r="D75" s="12" t="inlineStr">
        <is>
          <t>株主総会議事録を本店に備え置き、法定備置書類の保存台帳を整備する</t>
        </is>
      </c>
      <c r="E75" s="13">
        <f>$B$2+7</f>
        <v/>
      </c>
      <c r="F75" s="13">
        <f>$B$2+14</f>
        <v/>
      </c>
      <c r="G75" s="14" t="n"/>
      <c r="H75" s="14" t="n"/>
      <c r="I75" s="15" t="n">
        <v>60</v>
      </c>
      <c r="J75" s="11" t="inlineStr">
        <is>
          <t>境</t>
        </is>
      </c>
      <c r="K75" s="11" t="inlineStr">
        <is>
          <t>増田</t>
        </is>
      </c>
      <c r="L75" s="11" t="inlineStr">
        <is>
          <t>I-01</t>
        </is>
      </c>
      <c r="M75" s="12" t="inlineStr">
        <is>
          <t>法定：会社法318条2項（10年間）</t>
        </is>
      </c>
      <c r="N75" s="16" t="inlineStr">
        <is>
          <t>未着手</t>
        </is>
      </c>
      <c r="O75" s="12" t="inlineStr">
        <is>
          <t>支店がある場合は写しを5年間備え置く</t>
        </is>
      </c>
    </row>
    <row r="76">
      <c r="A76" s="11" t="inlineStr">
        <is>
          <t>I-11</t>
        </is>
      </c>
      <c r="B76" s="12" t="inlineStr">
        <is>
          <t>総会後の手続</t>
        </is>
      </c>
      <c r="C76" s="12" t="inlineStr">
        <is>
          <t>株主名簿の更新と決議通知</t>
        </is>
      </c>
      <c r="D76" s="12" t="inlineStr">
        <is>
          <t>役員変更等を反映して株主名簿・会社関係書類を更新し、必要に応じて株主へ決議結果を通知する</t>
        </is>
      </c>
      <c r="E76" s="13">
        <f>$B$2+3</f>
        <v/>
      </c>
      <c r="F76" s="13">
        <f>$B$2+10</f>
        <v/>
      </c>
      <c r="G76" s="14" t="n"/>
      <c r="H76" s="14" t="n"/>
      <c r="I76" s="15" t="n">
        <v>90</v>
      </c>
      <c r="J76" s="11" t="inlineStr">
        <is>
          <t>境</t>
        </is>
      </c>
      <c r="K76" s="11" t="inlineStr">
        <is>
          <t>増田</t>
        </is>
      </c>
      <c r="L76" s="11" t="inlineStr">
        <is>
          <t>H-08</t>
        </is>
      </c>
      <c r="M76" s="12" t="inlineStr">
        <is>
          <t>社内</t>
        </is>
      </c>
      <c r="N76" s="16" t="inlineStr">
        <is>
          <t>未着手</t>
        </is>
      </c>
      <c r="O76" s="12" t="inlineStr"/>
    </row>
    <row r="77">
      <c r="A77" s="11" t="inlineStr">
        <is>
          <t>I-12</t>
        </is>
      </c>
      <c r="B77" s="12" t="inlineStr">
        <is>
          <t>総会後の手続</t>
        </is>
      </c>
      <c r="C77" s="12" t="inlineStr">
        <is>
          <t>役員就任に伴う社内手続</t>
        </is>
      </c>
      <c r="D77" s="12" t="inlineStr">
        <is>
          <t>委嘱状の交付、報酬の設定、銀行や取引先への届出、役員賠償責任保険の見直しを行う</t>
        </is>
      </c>
      <c r="E77" s="13">
        <f>$B$2+7</f>
        <v/>
      </c>
      <c r="F77" s="13">
        <f>$B$2+30</f>
        <v/>
      </c>
      <c r="G77" s="14" t="n"/>
      <c r="H77" s="14" t="n"/>
      <c r="I77" s="15" t="n">
        <v>120</v>
      </c>
      <c r="J77" s="11" t="inlineStr">
        <is>
          <t>増田</t>
        </is>
      </c>
      <c r="K77" s="11" t="inlineStr">
        <is>
          <t>境</t>
        </is>
      </c>
      <c r="L77" s="11" t="inlineStr">
        <is>
          <t>I-06</t>
        </is>
      </c>
      <c r="M77" s="12" t="inlineStr">
        <is>
          <t>社内</t>
        </is>
      </c>
      <c r="N77" s="16" t="inlineStr">
        <is>
          <t>未着手</t>
        </is>
      </c>
      <c r="O77" s="12" t="inlineStr"/>
    </row>
    <row r="78">
      <c r="A78" s="11" t="inlineStr">
        <is>
          <t>I-13</t>
        </is>
      </c>
      <c r="B78" s="12" t="inlineStr">
        <is>
          <t>総会後の手続</t>
        </is>
      </c>
      <c r="C78" s="12" t="inlineStr">
        <is>
          <t>税務申告の期限確認と対応</t>
        </is>
      </c>
      <c r="D78" s="12" t="inlineStr">
        <is>
          <t>法人税・地方税の申告期限と、総会の遅延による影響を確認して対応する</t>
        </is>
      </c>
      <c r="E78" s="13">
        <f>$B$2+1</f>
        <v/>
      </c>
      <c r="F78" s="13">
        <f>$B$2+10</f>
        <v/>
      </c>
      <c r="G78" s="14" t="n"/>
      <c r="H78" s="14" t="n"/>
      <c r="I78" s="15" t="n">
        <v>60</v>
      </c>
      <c r="J78" s="11" t="inlineStr">
        <is>
          <t>境</t>
        </is>
      </c>
      <c r="K78" s="11" t="inlineStr">
        <is>
          <t>増田</t>
        </is>
      </c>
      <c r="L78" s="11" t="inlineStr">
        <is>
          <t>H-05</t>
        </is>
      </c>
      <c r="M78" s="12" t="inlineStr">
        <is>
          <t>法定：法人税法74条</t>
        </is>
      </c>
      <c r="N78" s="16" t="inlineStr">
        <is>
          <t>未着手</t>
        </is>
      </c>
      <c r="O78" s="12" t="inlineStr">
        <is>
          <t>申告期限の延長特例の適用状況を顧問税理士に確認する</t>
        </is>
      </c>
    </row>
    <row r="79">
      <c r="A79" s="11" t="inlineStr">
        <is>
          <t>J-01</t>
        </is>
      </c>
      <c r="B79" s="12" t="inlineStr">
        <is>
          <t>振り返り</t>
        </is>
      </c>
      <c r="C79" s="12" t="inlineStr">
        <is>
          <t>実績日と所要時間の記録</t>
        </is>
      </c>
      <c r="D79" s="12" t="inlineStr">
        <is>
          <t>本WBSの実績欄を全件埋め、予定と実績の差分を明らかにする</t>
        </is>
      </c>
      <c r="E79" s="13">
        <f>$B$2+7</f>
        <v/>
      </c>
      <c r="F79" s="13">
        <f>$B$2+14</f>
        <v/>
      </c>
      <c r="G79" s="14" t="n"/>
      <c r="H79" s="14" t="n"/>
      <c r="I79" s="15" t="n">
        <v>90</v>
      </c>
      <c r="J79" s="11" t="inlineStr">
        <is>
          <t>境</t>
        </is>
      </c>
      <c r="K79" s="11" t="inlineStr">
        <is>
          <t>増田</t>
        </is>
      </c>
      <c r="L79" s="11" t="inlineStr">
        <is>
          <t>H-05</t>
        </is>
      </c>
      <c r="M79" s="12" t="inlineStr">
        <is>
          <t>社内</t>
        </is>
      </c>
      <c r="N79" s="16" t="inlineStr">
        <is>
          <t>未着手</t>
        </is>
      </c>
      <c r="O79" s="12" t="inlineStr">
        <is>
          <t>ここが次回の標準形の精度をつくる。差分の大きい作業に印をつける</t>
        </is>
      </c>
    </row>
    <row r="80">
      <c r="A80" s="11" t="inlineStr">
        <is>
          <t>J-02</t>
        </is>
      </c>
      <c r="B80" s="12" t="inlineStr">
        <is>
          <t>振り返り</t>
        </is>
      </c>
      <c r="C80" s="12" t="inlineStr">
        <is>
          <t>振り返り会の実施</t>
        </is>
      </c>
      <c r="D80" s="12" t="inlineStr">
        <is>
          <t>うまく進んだ点と詰まった点を洗い出し、原因まで掘り下げて記録する</t>
        </is>
      </c>
      <c r="E80" s="13">
        <f>$B$2+14</f>
        <v/>
      </c>
      <c r="F80" s="13">
        <f>$B$2+14</f>
        <v/>
      </c>
      <c r="G80" s="14" t="n"/>
      <c r="H80" s="14" t="n"/>
      <c r="I80" s="15" t="n">
        <v>90</v>
      </c>
      <c r="J80" s="11" t="inlineStr">
        <is>
          <t>増田</t>
        </is>
      </c>
      <c r="K80" s="11" t="inlineStr">
        <is>
          <t>境</t>
        </is>
      </c>
      <c r="L80" s="11" t="inlineStr">
        <is>
          <t>J-01</t>
        </is>
      </c>
      <c r="M80" s="12" t="inlineStr">
        <is>
          <t>社内</t>
        </is>
      </c>
      <c r="N80" s="16" t="inlineStr">
        <is>
          <t>未着手</t>
        </is>
      </c>
      <c r="O80" s="12" t="inlineStr"/>
    </row>
    <row r="81">
      <c r="A81" s="11" t="inlineStr">
        <is>
          <t>J-03</t>
        </is>
      </c>
      <c r="B81" s="12" t="inlineStr">
        <is>
          <t>振り返り</t>
        </is>
      </c>
      <c r="C81" s="12" t="inlineStr">
        <is>
          <t>想定外の事項と株主質問の記録</t>
        </is>
      </c>
      <c r="D81" s="12" t="inlineStr">
        <is>
          <t>当日の質問と想定外だった出来事を記録し、次回の想定問答に反映できる形で残す</t>
        </is>
      </c>
      <c r="E81" s="13">
        <f>$B$2+10</f>
        <v/>
      </c>
      <c r="F81" s="13">
        <f>$B$2+17</f>
        <v/>
      </c>
      <c r="G81" s="14" t="n"/>
      <c r="H81" s="14" t="n"/>
      <c r="I81" s="15" t="n">
        <v>60</v>
      </c>
      <c r="J81" s="11" t="inlineStr">
        <is>
          <t>増田</t>
        </is>
      </c>
      <c r="K81" s="11" t="inlineStr">
        <is>
          <t>境</t>
        </is>
      </c>
      <c r="L81" s="11" t="inlineStr">
        <is>
          <t>H-05</t>
        </is>
      </c>
      <c r="M81" s="12" t="inlineStr">
        <is>
          <t>社内</t>
        </is>
      </c>
      <c r="N81" s="16" t="inlineStr">
        <is>
          <t>未着手</t>
        </is>
      </c>
      <c r="O81" s="12" t="inlineStr"/>
    </row>
    <row r="82">
      <c r="A82" s="11" t="inlineStr">
        <is>
          <t>J-04</t>
        </is>
      </c>
      <c r="B82" s="12" t="inlineStr">
        <is>
          <t>振り返り</t>
        </is>
      </c>
      <c r="C82" s="12" t="inlineStr">
        <is>
          <t>外部関係者からのフィードバック聴取</t>
        </is>
      </c>
      <c r="D82" s="12" t="inlineStr">
        <is>
          <t>前田先生をはじめ外部関係者から、今回の進め方への意見を聞き取る</t>
        </is>
      </c>
      <c r="E82" s="13">
        <f>$B$2+14</f>
        <v/>
      </c>
      <c r="F82" s="13">
        <f>$B$2+21</f>
        <v/>
      </c>
      <c r="G82" s="14" t="n"/>
      <c r="H82" s="14" t="n"/>
      <c r="I82" s="15" t="n">
        <v>60</v>
      </c>
      <c r="J82" s="11" t="inlineStr">
        <is>
          <t>境</t>
        </is>
      </c>
      <c r="K82" s="11" t="inlineStr">
        <is>
          <t>増田</t>
        </is>
      </c>
      <c r="L82" s="11" t="inlineStr">
        <is>
          <t>I-06</t>
        </is>
      </c>
      <c r="M82" s="12" t="inlineStr">
        <is>
          <t>社内</t>
        </is>
      </c>
      <c r="N82" s="16" t="inlineStr">
        <is>
          <t>未着手</t>
        </is>
      </c>
      <c r="O82" s="12" t="inlineStr"/>
    </row>
    <row r="83">
      <c r="A83" s="11" t="inlineStr">
        <is>
          <t>J-05</t>
        </is>
      </c>
      <c r="B83" s="12" t="inlineStr">
        <is>
          <t>振り返り</t>
        </is>
      </c>
      <c r="C83" s="12" t="inlineStr">
        <is>
          <t>遅延の原因分析と再発防止策の整理</t>
        </is>
      </c>
      <c r="D83" s="12" t="inlineStr">
        <is>
          <t>今回、開催が事業年度末から5か月以上遅れた原因を分析し、再発防止策をまとめる</t>
        </is>
      </c>
      <c r="E83" s="13">
        <f>$B$2+14</f>
        <v/>
      </c>
      <c r="F83" s="13">
        <f>$B$2+21</f>
        <v/>
      </c>
      <c r="G83" s="14" t="n"/>
      <c r="H83" s="14" t="n"/>
      <c r="I83" s="15" t="n">
        <v>90</v>
      </c>
      <c r="J83" s="11" t="inlineStr">
        <is>
          <t>増田</t>
        </is>
      </c>
      <c r="K83" s="11" t="inlineStr">
        <is>
          <t>境</t>
        </is>
      </c>
      <c r="L83" s="11" t="inlineStr">
        <is>
          <t>J-02</t>
        </is>
      </c>
      <c r="M83" s="12" t="inlineStr">
        <is>
          <t>社内</t>
        </is>
      </c>
      <c r="N83" s="16" t="inlineStr">
        <is>
          <t>未着手</t>
        </is>
      </c>
      <c r="O83" s="12" t="inlineStr">
        <is>
          <t>次回の指示書の中核になる部分</t>
        </is>
      </c>
    </row>
    <row r="84">
      <c r="A84" s="11" t="inlineStr">
        <is>
          <t>K-01</t>
        </is>
      </c>
      <c r="B84" s="12" t="inlineStr">
        <is>
          <t>標準形化</t>
        </is>
      </c>
      <c r="C84" s="12" t="inlineStr">
        <is>
          <t>次回への指示書の更新</t>
        </is>
      </c>
      <c r="D84" s="12" t="inlineStr">
        <is>
          <t>公開会社となったことによる変更点を反映し、第11期に向けた指示書を確定させる</t>
        </is>
      </c>
      <c r="E84" s="13">
        <f>$B$2+21</f>
        <v/>
      </c>
      <c r="F84" s="13">
        <f>$B$2+30</f>
        <v/>
      </c>
      <c r="G84" s="14" t="n"/>
      <c r="H84" s="14" t="n"/>
      <c r="I84" s="15" t="n">
        <v>120</v>
      </c>
      <c r="J84" s="11" t="inlineStr">
        <is>
          <t>増田</t>
        </is>
      </c>
      <c r="K84" s="11" t="inlineStr">
        <is>
          <t>境</t>
        </is>
      </c>
      <c r="L84" s="11" t="inlineStr">
        <is>
          <t>J-05</t>
        </is>
      </c>
      <c r="M84" s="12" t="inlineStr">
        <is>
          <t>社内</t>
        </is>
      </c>
      <c r="N84" s="16" t="inlineStr">
        <is>
          <t>未着手</t>
        </is>
      </c>
      <c r="O84" s="12" t="inlineStr">
        <is>
          <t>招集通知2週間前・任期短縮・事業報告の追加記載が最重要の変更点</t>
        </is>
      </c>
    </row>
    <row r="85">
      <c r="A85" s="11" t="inlineStr">
        <is>
          <t>K-02</t>
        </is>
      </c>
      <c r="B85" s="12" t="inlineStr">
        <is>
          <t>標準形化</t>
        </is>
      </c>
      <c r="C85" s="12" t="inlineStr">
        <is>
          <t>標準WBSテンプレートの作成</t>
        </is>
      </c>
      <c r="D85" s="12" t="inlineStr">
        <is>
          <t>今回の実績時間を反映した、次回そのまま使えるWBSのひな形をつくる</t>
        </is>
      </c>
      <c r="E85" s="13">
        <f>$B$2+21</f>
        <v/>
      </c>
      <c r="F85" s="13">
        <f>$B$2+32</f>
        <v/>
      </c>
      <c r="G85" s="14" t="n"/>
      <c r="H85" s="14" t="n"/>
      <c r="I85" s="15" t="n">
        <v>120</v>
      </c>
      <c r="J85" s="11" t="inlineStr">
        <is>
          <t>境</t>
        </is>
      </c>
      <c r="K85" s="11" t="inlineStr">
        <is>
          <t>増田</t>
        </is>
      </c>
      <c r="L85" s="11" t="inlineStr">
        <is>
          <t>J-01</t>
        </is>
      </c>
      <c r="M85" s="12" t="inlineStr">
        <is>
          <t>社内</t>
        </is>
      </c>
      <c r="N85" s="16" t="inlineStr">
        <is>
          <t>未着手</t>
        </is>
      </c>
      <c r="O85" s="12" t="inlineStr">
        <is>
          <t>開催日を入れれば全ての予定日が決まる形を維持する</t>
        </is>
      </c>
    </row>
    <row r="86">
      <c r="A86" s="11" t="inlineStr">
        <is>
          <t>K-03</t>
        </is>
      </c>
      <c r="B86" s="12" t="inlineStr">
        <is>
          <t>標準形化</t>
        </is>
      </c>
      <c r="C86" s="12" t="inlineStr">
        <is>
          <t>各種書類のひな形整備</t>
        </is>
      </c>
      <c r="D86" s="12" t="inlineStr">
        <is>
          <t>招集通知・参考書類・委任状・議事録・進行台本を、次回使える状態に整理して保管する</t>
        </is>
      </c>
      <c r="E86" s="13">
        <f>$B$2+25</f>
        <v/>
      </c>
      <c r="F86" s="13">
        <f>$B$2+35</f>
        <v/>
      </c>
      <c r="G86" s="14" t="n"/>
      <c r="H86" s="14" t="n"/>
      <c r="I86" s="15" t="n">
        <v>180</v>
      </c>
      <c r="J86" s="11" t="inlineStr">
        <is>
          <t>境</t>
        </is>
      </c>
      <c r="K86" s="11" t="inlineStr">
        <is>
          <t>増田</t>
        </is>
      </c>
      <c r="L86" s="11" t="inlineStr">
        <is>
          <t>K-01</t>
        </is>
      </c>
      <c r="M86" s="12" t="inlineStr">
        <is>
          <t>社内</t>
        </is>
      </c>
      <c r="N86" s="16" t="inlineStr">
        <is>
          <t>未着手</t>
        </is>
      </c>
      <c r="O86" s="12" t="inlineStr"/>
    </row>
    <row r="87">
      <c r="A87" s="11" t="inlineStr">
        <is>
          <t>K-04</t>
        </is>
      </c>
      <c r="B87" s="12" t="inlineStr">
        <is>
          <t>標準形化</t>
        </is>
      </c>
      <c r="C87" s="12" t="inlineStr">
        <is>
          <t>第11期の年間スケジュールの作成</t>
        </is>
      </c>
      <c r="D87" s="12" t="inlineStr">
        <is>
          <t>4月30日の決算から逆算し、決算・監査・総会・登記・決算公告までの年間予定を組む</t>
        </is>
      </c>
      <c r="E87" s="13">
        <f>$B$2+30</f>
        <v/>
      </c>
      <c r="F87" s="13">
        <f>$B$2+38</f>
        <v/>
      </c>
      <c r="G87" s="14" t="n"/>
      <c r="H87" s="14" t="n"/>
      <c r="I87" s="15" t="n">
        <v>90</v>
      </c>
      <c r="J87" s="11" t="inlineStr">
        <is>
          <t>増田</t>
        </is>
      </c>
      <c r="K87" s="11" t="inlineStr">
        <is>
          <t>境</t>
        </is>
      </c>
      <c r="L87" s="11" t="inlineStr">
        <is>
          <t>K-01</t>
        </is>
      </c>
      <c r="M87" s="12" t="inlineStr">
        <is>
          <t>社内</t>
        </is>
      </c>
      <c r="N87" s="16" t="inlineStr">
        <is>
          <t>未着手</t>
        </is>
      </c>
      <c r="O87" s="12" t="inlineStr">
        <is>
          <t>今度は基準日を4月30日で正しく使えるよう、3か月以内の開催を前提に組む</t>
        </is>
      </c>
    </row>
    <row r="88">
      <c r="A88" s="11" t="inlineStr">
        <is>
          <t>K-05</t>
        </is>
      </c>
      <c r="B88" s="12" t="inlineStr">
        <is>
          <t>標準形化</t>
        </is>
      </c>
      <c r="C88" s="12" t="inlineStr">
        <is>
          <t>標準形の承認と保管場所の確定</t>
        </is>
      </c>
      <c r="D88" s="12" t="inlineStr">
        <is>
          <t>完成した標準形一式を承認し、保管場所とアクセス権限を確定する</t>
        </is>
      </c>
      <c r="E88" s="13">
        <f>$B$2+38</f>
        <v/>
      </c>
      <c r="F88" s="13">
        <f>$B$2+42</f>
        <v/>
      </c>
      <c r="G88" s="14" t="n"/>
      <c r="H88" s="14" t="n"/>
      <c r="I88" s="15" t="n">
        <v>30</v>
      </c>
      <c r="J88" s="11" t="inlineStr">
        <is>
          <t>増田</t>
        </is>
      </c>
      <c r="K88" s="11" t="inlineStr">
        <is>
          <t>境</t>
        </is>
      </c>
      <c r="L88" s="11" t="inlineStr">
        <is>
          <t>K-02</t>
        </is>
      </c>
      <c r="M88" s="12" t="inlineStr">
        <is>
          <t>社内</t>
        </is>
      </c>
      <c r="N88" s="16" t="inlineStr">
        <is>
          <t>未着手</t>
        </is>
      </c>
      <c r="O88" s="12" t="inlineStr"/>
    </row>
    <row r="89">
      <c r="A89" s="11" t="inlineStr">
        <is>
          <t>K-06</t>
        </is>
      </c>
      <c r="B89" s="12" t="inlineStr">
        <is>
          <t>標準形化</t>
        </is>
      </c>
      <c r="C89" s="12" t="inlineStr">
        <is>
          <t>関係者への共有と引き継ぎ</t>
        </is>
      </c>
      <c r="D89" s="12" t="inlineStr">
        <is>
          <t>標準形の内容と使い方を関係者へ共有し、担当が変わっても回る状態にする</t>
        </is>
      </c>
      <c r="E89" s="13">
        <f>$B$2+42</f>
        <v/>
      </c>
      <c r="F89" s="13">
        <f>$B$2+45</f>
        <v/>
      </c>
      <c r="G89" s="14" t="n"/>
      <c r="H89" s="14" t="n"/>
      <c r="I89" s="15" t="n">
        <v>60</v>
      </c>
      <c r="J89" s="11" t="inlineStr">
        <is>
          <t>境</t>
        </is>
      </c>
      <c r="K89" s="11" t="inlineStr">
        <is>
          <t>増田</t>
        </is>
      </c>
      <c r="L89" s="11" t="inlineStr">
        <is>
          <t>K-05</t>
        </is>
      </c>
      <c r="M89" s="12" t="inlineStr">
        <is>
          <t>社内</t>
        </is>
      </c>
      <c r="N89" s="16" t="inlineStr">
        <is>
          <t>未着手</t>
        </is>
      </c>
      <c r="O89" s="12" t="inlineStr"/>
    </row>
  </sheetData>
  <autoFilter ref="A6:O89"/>
  <dataValidations count="1">
    <dataValidation sqref="N7:N89" showDropDown="0" showInputMessage="0" showErrorMessage="0" allowBlank="1" type="list">
      <formula1>"未着手,進行中,完了,保留,対象外"</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2026-08-20T08:19:45Z</dcterms:created>
  <dcterms:modified xsi:type="dcterms:W3CDTF">2026-08-20T08:19:45Z</dcterms:modified>
</cp:coreProperties>
</file>